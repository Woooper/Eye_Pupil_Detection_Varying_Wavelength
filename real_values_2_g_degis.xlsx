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eks\Desktop\calisma\EyeTrackerTez\pupil_Detect2\eye-circular-boundaries\"/>
    </mc:Choice>
  </mc:AlternateContent>
  <bookViews>
    <workbookView xWindow="0" yWindow="0" windowWidth="19180" windowHeight="8000"/>
  </bookViews>
  <sheets>
    <sheet name="real_values_2_g_degis" sheetId="1" r:id="rId1"/>
  </sheets>
  <definedNames>
    <definedName name="_xlnm._FilterDatabase" localSheetId="0" hidden="1">real_values_2_g_degis!$Q$1:$Q$402</definedName>
  </definedNames>
  <calcPr calcId="0"/>
</workbook>
</file>

<file path=xl/calcChain.xml><?xml version="1.0" encoding="utf-8"?>
<calcChain xmlns="http://schemas.openxmlformats.org/spreadsheetml/2006/main">
  <c r="U389" i="1" l="1"/>
  <c r="T389" i="1"/>
  <c r="U386" i="1"/>
  <c r="T386" i="1"/>
  <c r="U382" i="1"/>
  <c r="T382" i="1"/>
  <c r="U352" i="1"/>
  <c r="T352" i="1"/>
  <c r="U351" i="1"/>
  <c r="T351" i="1"/>
  <c r="U350" i="1"/>
  <c r="T350" i="1"/>
  <c r="T324" i="1"/>
  <c r="U322" i="1"/>
  <c r="T322" i="1"/>
  <c r="U301" i="1"/>
  <c r="T301" i="1"/>
  <c r="U293" i="1"/>
  <c r="T293" i="1"/>
  <c r="U255" i="1"/>
  <c r="T255" i="1"/>
  <c r="U251" i="1"/>
  <c r="T251" i="1"/>
  <c r="U250" i="1"/>
  <c r="T250" i="1"/>
  <c r="U225" i="1"/>
  <c r="T225" i="1"/>
  <c r="U221" i="1"/>
  <c r="T221" i="1"/>
  <c r="U220" i="1"/>
  <c r="T220" i="1"/>
  <c r="U198" i="1"/>
  <c r="T198" i="1"/>
  <c r="U192" i="1"/>
  <c r="T192" i="1"/>
  <c r="U170" i="1"/>
  <c r="T170" i="1"/>
  <c r="U169" i="1"/>
  <c r="T169" i="1"/>
  <c r="T166" i="1"/>
  <c r="U165" i="1"/>
  <c r="T165" i="1"/>
  <c r="U146" i="1"/>
  <c r="T146" i="1"/>
  <c r="U125" i="1"/>
  <c r="T125" i="1"/>
  <c r="U123" i="1"/>
  <c r="T123" i="1"/>
  <c r="U119" i="1"/>
  <c r="T119" i="1"/>
  <c r="U97" i="1"/>
  <c r="T97" i="1"/>
  <c r="U95" i="1"/>
  <c r="T95" i="1"/>
  <c r="U67" i="1"/>
  <c r="T67" i="1"/>
  <c r="U64" i="1"/>
  <c r="T64" i="1"/>
  <c r="U62" i="1"/>
  <c r="T62" i="1"/>
  <c r="U33" i="1"/>
  <c r="T33" i="1"/>
  <c r="U5" i="1"/>
  <c r="T5" i="1"/>
</calcChain>
</file>

<file path=xl/sharedStrings.xml><?xml version="1.0" encoding="utf-8"?>
<sst xmlns="http://schemas.openxmlformats.org/spreadsheetml/2006/main" count="1209" uniqueCount="407">
  <si>
    <t>FileName</t>
  </si>
  <si>
    <t>Center (px) (x-axis)</t>
  </si>
  <si>
    <t>Center (px) (y-axis)</t>
  </si>
  <si>
    <t>Diameter (px) (x-axis)</t>
  </si>
  <si>
    <t>Diameter (px) (y-axis)</t>
  </si>
  <si>
    <t>Diameter (px)</t>
  </si>
  <si>
    <t>SG_730_012A_1</t>
  </si>
  <si>
    <t>SG_730_012A_1_g</t>
  </si>
  <si>
    <t>SG_730_012A_10</t>
  </si>
  <si>
    <t>SG_730_012A_10_g</t>
  </si>
  <si>
    <t>SG_730_012A_2</t>
  </si>
  <si>
    <t>SG_730_012A_2_g</t>
  </si>
  <si>
    <t>SG_730_012A_3</t>
  </si>
  <si>
    <t>SG_730_012A_3_g</t>
  </si>
  <si>
    <t>SG_730_012A_4</t>
  </si>
  <si>
    <t>SG_730_012A_4_g</t>
  </si>
  <si>
    <t>SG_730_012A_5</t>
  </si>
  <si>
    <t>SG_730_012A_5_g</t>
  </si>
  <si>
    <t>SG_730_012A_6</t>
  </si>
  <si>
    <t>SG_730_012A_6_g</t>
  </si>
  <si>
    <t>SG_730_012A_7</t>
  </si>
  <si>
    <t>SG_730_012A_7_g</t>
  </si>
  <si>
    <t>SG_730_012A_8</t>
  </si>
  <si>
    <t>SG_730_012A_8_g</t>
  </si>
  <si>
    <t>SG_730_012A_9</t>
  </si>
  <si>
    <t>SG_730_012A_9_g</t>
  </si>
  <si>
    <t>SG_730_012A_cam</t>
  </si>
  <si>
    <t>SG_730_012A_cam_g</t>
  </si>
  <si>
    <t>SG_730_012A_lb</t>
  </si>
  <si>
    <t>SG_730_012A_lb_g</t>
  </si>
  <si>
    <t>SG_730_012A_lt</t>
  </si>
  <si>
    <t>SG_730_012A_lt_g</t>
  </si>
  <si>
    <t>SG_730_012A_rb</t>
  </si>
  <si>
    <t>SG_730_012A_rb_g</t>
  </si>
  <si>
    <t>SG_730_012A_rt</t>
  </si>
  <si>
    <t>SG_730_012A_rt_g</t>
  </si>
  <si>
    <t>SG_730_037A_1</t>
  </si>
  <si>
    <t>SG_730_037A_1_g</t>
  </si>
  <si>
    <t>SG_730_037A_10</t>
  </si>
  <si>
    <t>SG_730_037A_10_g</t>
  </si>
  <si>
    <t>SG_730_037A_2</t>
  </si>
  <si>
    <t>SG_730_037A_2_g</t>
  </si>
  <si>
    <t>SG_730_037A_3</t>
  </si>
  <si>
    <t>SG_730_037A_3_g</t>
  </si>
  <si>
    <t>SG_730_037A_4</t>
  </si>
  <si>
    <t>SG_730_037A_4_g</t>
  </si>
  <si>
    <t>SG_730_037A_5</t>
  </si>
  <si>
    <t>SG_730_037A_5_g</t>
  </si>
  <si>
    <t>SG_730_037A_6</t>
  </si>
  <si>
    <t>SG_730_037A_6_g</t>
  </si>
  <si>
    <t>SG_730_037A_7</t>
  </si>
  <si>
    <t>SG_730_037A_7_g</t>
  </si>
  <si>
    <t>SG_730_037A_8</t>
  </si>
  <si>
    <t>SG_730_037A_8_g</t>
  </si>
  <si>
    <t>SG_730_037A_9</t>
  </si>
  <si>
    <t>SG_730_037A_9_g</t>
  </si>
  <si>
    <t>SG_730_037A_cam</t>
  </si>
  <si>
    <t>SG_730_037A_cam_g</t>
  </si>
  <si>
    <t>SG_730_037A_lb</t>
  </si>
  <si>
    <t>SG_730_037A_lb_g</t>
  </si>
  <si>
    <t>SG_730_037A_lt</t>
  </si>
  <si>
    <t>SG_730_037A_lt_g</t>
  </si>
  <si>
    <t>SG_730_037A_rb</t>
  </si>
  <si>
    <t>SG_730_037A_rb_g</t>
  </si>
  <si>
    <t>SG_730_037A_rt</t>
  </si>
  <si>
    <t>SG_730_037A_rt_g</t>
  </si>
  <si>
    <t>SG_730_060A_1</t>
  </si>
  <si>
    <t>SG_730_060A_1_g</t>
  </si>
  <si>
    <t>SG_730_060A_10</t>
  </si>
  <si>
    <t>SG_730_060A_10_g</t>
  </si>
  <si>
    <t>SG_730_060A_2</t>
  </si>
  <si>
    <t>SG_730_060A_2_g</t>
  </si>
  <si>
    <t>SG_730_060A_3</t>
  </si>
  <si>
    <t>SG_730_060A_3_g</t>
  </si>
  <si>
    <t>SG_730_060A_4</t>
  </si>
  <si>
    <t>SG_730_060A_4_g</t>
  </si>
  <si>
    <t>SG_730_060A_5</t>
  </si>
  <si>
    <t>SG_730_060A_5_g</t>
  </si>
  <si>
    <t>SG_730_060A_6</t>
  </si>
  <si>
    <t>SG_730_060A_6_g</t>
  </si>
  <si>
    <t>SG_730_060A_7</t>
  </si>
  <si>
    <t>SG_730_060A_7_g</t>
  </si>
  <si>
    <t>SG_730_060A_8</t>
  </si>
  <si>
    <t>SG_730_060A_8_g</t>
  </si>
  <si>
    <t>SG_730_060A_9</t>
  </si>
  <si>
    <t>SG_730_060A_9_g</t>
  </si>
  <si>
    <t>SG_730_060A_cam</t>
  </si>
  <si>
    <t>SG_730_060A_cam_g</t>
  </si>
  <si>
    <t>SG_730_060A_lb</t>
  </si>
  <si>
    <t>SG_730_060A_lt</t>
  </si>
  <si>
    <t>SG_730_060A_lt_g</t>
  </si>
  <si>
    <t>SG_730_060A_rb_g</t>
  </si>
  <si>
    <t>SG_730_060A_rt</t>
  </si>
  <si>
    <t>SG_730_060A_rt_g</t>
  </si>
  <si>
    <t>SG_730_084A_1</t>
  </si>
  <si>
    <t>SG_730_084A_1_g</t>
  </si>
  <si>
    <t>SG_730_084A_10</t>
  </si>
  <si>
    <t>SG_730_084A_10_g</t>
  </si>
  <si>
    <t>SG_730_084A_2</t>
  </si>
  <si>
    <t>SG_730_084A_2_g</t>
  </si>
  <si>
    <t>SG_730_084A_3</t>
  </si>
  <si>
    <t>SG_730_084A_3_g</t>
  </si>
  <si>
    <t>SG_730_084A_4</t>
  </si>
  <si>
    <t>SG_730_084A_4_g</t>
  </si>
  <si>
    <t>SG_730_084A_5</t>
  </si>
  <si>
    <t>SG_730_084A_5_g</t>
  </si>
  <si>
    <t>SG_730_084A_6</t>
  </si>
  <si>
    <t>SG_730_084A_6_g</t>
  </si>
  <si>
    <t>SG_730_084A_7</t>
  </si>
  <si>
    <t>SG_730_084A_7_g</t>
  </si>
  <si>
    <t>SG_730_084A_8</t>
  </si>
  <si>
    <t>SG_730_084A_8_g</t>
  </si>
  <si>
    <t>SG_730_084A_9</t>
  </si>
  <si>
    <t>SG_730_084A_9_g</t>
  </si>
  <si>
    <t>SG_730_084A_cam</t>
  </si>
  <si>
    <t>SG_730_084A_cam_g</t>
  </si>
  <si>
    <t>SG_730_084A_lb_g</t>
  </si>
  <si>
    <t>SG_730_084A_lt</t>
  </si>
  <si>
    <t>SG_730_084A_lt_g</t>
  </si>
  <si>
    <t>SG_730_084A_rb_g</t>
  </si>
  <si>
    <t>SG_730_084A_rt</t>
  </si>
  <si>
    <t>SG_730_084A_rt_g</t>
  </si>
  <si>
    <t>SG_730_103A_1</t>
  </si>
  <si>
    <t>SG_730_103A_1_g</t>
  </si>
  <si>
    <t>SG_730_103A_10</t>
  </si>
  <si>
    <t>SG_730_103A_10_g</t>
  </si>
  <si>
    <t>SG_730_103A_2</t>
  </si>
  <si>
    <t>SG_730_103A_2_g</t>
  </si>
  <si>
    <t>SG_730_103A_3</t>
  </si>
  <si>
    <t>SG_730_103A_3_g</t>
  </si>
  <si>
    <t>SG_730_103A_4</t>
  </si>
  <si>
    <t>SG_730_103A_4_g</t>
  </si>
  <si>
    <t>SG_730_103A_5</t>
  </si>
  <si>
    <t>SG_730_103A_5_g</t>
  </si>
  <si>
    <t>SG_730_103A_6_g</t>
  </si>
  <si>
    <t>SG_730_103A_7</t>
  </si>
  <si>
    <t>SG_730_103A_7_g</t>
  </si>
  <si>
    <t>SG_730_103A_8</t>
  </si>
  <si>
    <t>SG_730_103A_8_g</t>
  </si>
  <si>
    <t>SG_730_103A_9</t>
  </si>
  <si>
    <t>SG_730_103A_9_g</t>
  </si>
  <si>
    <t>SG_730_103A_cam</t>
  </si>
  <si>
    <t>SG_730_103A_cam_g</t>
  </si>
  <si>
    <t>SG_730_103A_lb_g</t>
  </si>
  <si>
    <t>SG_730_103A_lt</t>
  </si>
  <si>
    <t>SG_730_103A_lt_g</t>
  </si>
  <si>
    <t>SG_730_103A_rb_g</t>
  </si>
  <si>
    <t>SG_730_103A_rt</t>
  </si>
  <si>
    <t>SG_730_103A_rt_g</t>
  </si>
  <si>
    <t>SG_850_017A_1</t>
  </si>
  <si>
    <t>SG_850_017A_1_g</t>
  </si>
  <si>
    <t>SG_850_017A_10_g</t>
  </si>
  <si>
    <t>SG_850_017A_2_g</t>
  </si>
  <si>
    <t>SG_850_017A_3_g</t>
  </si>
  <si>
    <t>SG_850_017A_4_g</t>
  </si>
  <si>
    <t>SG_850_017A_5_g</t>
  </si>
  <si>
    <t>SG_850_017A_6_g</t>
  </si>
  <si>
    <t>SG_850_017A_7_g</t>
  </si>
  <si>
    <t>SG_850_017A_8_g</t>
  </si>
  <si>
    <t>SG_850_017A_9_g</t>
  </si>
  <si>
    <t>SG_850_017A_cam</t>
  </si>
  <si>
    <t>SG_850_017A_cam_g</t>
  </si>
  <si>
    <t>SG_850_017A_lb_g</t>
  </si>
  <si>
    <t>SG_850_017A_lt</t>
  </si>
  <si>
    <t>SG_850_017A_lt_g</t>
  </si>
  <si>
    <t>SG_850_017A_rb_g</t>
  </si>
  <si>
    <t>SG_850_017A_rt</t>
  </si>
  <si>
    <t>SG_850_017A_rt_g</t>
  </si>
  <si>
    <t>SG_850_040A_1</t>
  </si>
  <si>
    <t>SG_850_040A_1_g</t>
  </si>
  <si>
    <t>SG_850_040A_10</t>
  </si>
  <si>
    <t>SG_850_040A_10_g</t>
  </si>
  <si>
    <t>SG_850_040A_2</t>
  </si>
  <si>
    <t>SG_850_040A_2_g</t>
  </si>
  <si>
    <t>SG_850_040A_3</t>
  </si>
  <si>
    <t>SG_850_040A_3_g</t>
  </si>
  <si>
    <t>SG_850_040A_4</t>
  </si>
  <si>
    <t>SG_850_040A_4_g</t>
  </si>
  <si>
    <t>SG_850_040A_5</t>
  </si>
  <si>
    <t>SG_850_040A_5_g</t>
  </si>
  <si>
    <t>SG_850_040A_6</t>
  </si>
  <si>
    <t>SG_850_040A_6_g</t>
  </si>
  <si>
    <t>SG_850_040A_7</t>
  </si>
  <si>
    <t>SG_850_040A_7_g</t>
  </si>
  <si>
    <t>SG_850_040A_8_g</t>
  </si>
  <si>
    <t>SG_850_040A_9_g</t>
  </si>
  <si>
    <t>SG_850_040A_cam</t>
  </si>
  <si>
    <t>SG_850_040A_cam_g</t>
  </si>
  <si>
    <t>SG_850_040A_lb_g</t>
  </si>
  <si>
    <t>SG_850_040A_lt</t>
  </si>
  <si>
    <t>SG_850_040A_lt_g</t>
  </si>
  <si>
    <t>SG_850_040A_rb</t>
  </si>
  <si>
    <t>SG_850_040A_rb_g</t>
  </si>
  <si>
    <t>SG_850_040A_rt</t>
  </si>
  <si>
    <t>SG_850_040A_rt_g</t>
  </si>
  <si>
    <t>SG_850_065A_1</t>
  </si>
  <si>
    <t>SG_850_065A_1_g</t>
  </si>
  <si>
    <t>SG_850_065A_10</t>
  </si>
  <si>
    <t>SG_850_065A_10_g</t>
  </si>
  <si>
    <t>SG_850_065A_2</t>
  </si>
  <si>
    <t>SG_850_065A_2_g</t>
  </si>
  <si>
    <t>SG_850_065A_3</t>
  </si>
  <si>
    <t>SG_850_065A_3_g</t>
  </si>
  <si>
    <t>SG_850_065A_4</t>
  </si>
  <si>
    <t>SG_850_065A_4_g</t>
  </si>
  <si>
    <t>SG_850_065A_5</t>
  </si>
  <si>
    <t>SG_850_065A_5_g</t>
  </si>
  <si>
    <t>SG_850_065A_6</t>
  </si>
  <si>
    <t>SG_850_065A_6_g</t>
  </si>
  <si>
    <t>SG_850_065A_7</t>
  </si>
  <si>
    <t>SG_850_065A_7_g</t>
  </si>
  <si>
    <t>SG_850_065A_8</t>
  </si>
  <si>
    <t>SG_850_065A_8_g</t>
  </si>
  <si>
    <t>SG_850_065A_9</t>
  </si>
  <si>
    <t>SG_850_065A_9_g</t>
  </si>
  <si>
    <t>SG_850_065A_cam</t>
  </si>
  <si>
    <t>SG_850_065A_cam_g</t>
  </si>
  <si>
    <t>SG_850_065A_lb_g</t>
  </si>
  <si>
    <t>SG_850_065A_lt</t>
  </si>
  <si>
    <t>SG_850_065A_lt_g</t>
  </si>
  <si>
    <t>SG_850_065A_rb</t>
  </si>
  <si>
    <t>SG_850_065A_rb_g</t>
  </si>
  <si>
    <t>SG_850_065A_rt</t>
  </si>
  <si>
    <t>SG_850_065A_rt_g</t>
  </si>
  <si>
    <t>SG_850_078A_1</t>
  </si>
  <si>
    <t>SG_850_078A_1_g</t>
  </si>
  <si>
    <t>SG_850_078A_10</t>
  </si>
  <si>
    <t>SG_850_078A_10_g</t>
  </si>
  <si>
    <t>SG_850_078A_2</t>
  </si>
  <si>
    <t>SG_850_078A_2_g</t>
  </si>
  <si>
    <t>SG_850_078A_3</t>
  </si>
  <si>
    <t>SG_850_078A_3_g</t>
  </si>
  <si>
    <t>SG_850_078A_4</t>
  </si>
  <si>
    <t>SG_850_078A_4_g</t>
  </si>
  <si>
    <t>SG_850_078A_5</t>
  </si>
  <si>
    <t>SG_850_078A_5_g</t>
  </si>
  <si>
    <t>SG_850_078A_6</t>
  </si>
  <si>
    <t>SG_850_078A_6_g</t>
  </si>
  <si>
    <t>SG_850_078A_7</t>
  </si>
  <si>
    <t>SG_850_078A_7_g</t>
  </si>
  <si>
    <t>SG_850_078A_8</t>
  </si>
  <si>
    <t>SG_850_078A_8_g</t>
  </si>
  <si>
    <t>SG_850_078A_9</t>
  </si>
  <si>
    <t>SG_850_078A_9_g</t>
  </si>
  <si>
    <t>SG_850_078A_cam</t>
  </si>
  <si>
    <t>SG_850_078A_cam_g</t>
  </si>
  <si>
    <t>SG_850_078A_lb</t>
  </si>
  <si>
    <t>SG_850_078A_lb_g</t>
  </si>
  <si>
    <t>SG_850_078A_lt</t>
  </si>
  <si>
    <t>SG_850_078A_lt_g</t>
  </si>
  <si>
    <t>SG_850_078A_rb</t>
  </si>
  <si>
    <t>SG_850_078A_rb_g</t>
  </si>
  <si>
    <t>SG_850_078A_rt</t>
  </si>
  <si>
    <t>SG_850_078A_rt_g</t>
  </si>
  <si>
    <t>SG_850_104A_1</t>
  </si>
  <si>
    <t>SG_850_104A_1_g</t>
  </si>
  <si>
    <t>SG_850_104A_10</t>
  </si>
  <si>
    <t>SG_850_104A_10_g</t>
  </si>
  <si>
    <t>SG_850_104A_2</t>
  </si>
  <si>
    <t>SG_850_104A_2_g</t>
  </si>
  <si>
    <t>SG_850_104A_3</t>
  </si>
  <si>
    <t>SG_850_104A_3_g</t>
  </si>
  <si>
    <t>SG_850_104A_4</t>
  </si>
  <si>
    <t>SG_850_104A_4_g</t>
  </si>
  <si>
    <t>SG_850_104A_5</t>
  </si>
  <si>
    <t>SG_850_104A_5_g</t>
  </si>
  <si>
    <t>SG_850_104A_6</t>
  </si>
  <si>
    <t>SG_850_104A_6_g</t>
  </si>
  <si>
    <t>SG_850_104A_7</t>
  </si>
  <si>
    <t>SG_850_104A_7_g</t>
  </si>
  <si>
    <t>SG_850_104A_8_g</t>
  </si>
  <si>
    <t>SG_850_104A_9</t>
  </si>
  <si>
    <t>SG_850_104A_9_g</t>
  </si>
  <si>
    <t>SG_850_104A_cam</t>
  </si>
  <si>
    <t>SG_850_104A_cam_g</t>
  </si>
  <si>
    <t>SG_850_104A_lb</t>
  </si>
  <si>
    <t>SG_850_104A_lb_g</t>
  </si>
  <si>
    <t>SG_850_104A_lt</t>
  </si>
  <si>
    <t>SG_850_104A_lt_g</t>
  </si>
  <si>
    <t>SG_850_104A_rb</t>
  </si>
  <si>
    <t>SG_850_104A_rb_g</t>
  </si>
  <si>
    <t>SG_850_104A_rt</t>
  </si>
  <si>
    <t>SG_850_104A_rt_g</t>
  </si>
  <si>
    <t>SG_940_026A_1</t>
  </si>
  <si>
    <t>SG_940_026A_1_g</t>
  </si>
  <si>
    <t>SG_940_026A_10</t>
  </si>
  <si>
    <t>SG_940_026A_2</t>
  </si>
  <si>
    <t>SG_940_026A_2_g</t>
  </si>
  <si>
    <t>SG_940_026A_3</t>
  </si>
  <si>
    <t>SG_940_026A_3_g</t>
  </si>
  <si>
    <t>SG_940_026A_4</t>
  </si>
  <si>
    <t>SG_940_026A_4_g</t>
  </si>
  <si>
    <t>SG_940_026A_5</t>
  </si>
  <si>
    <t>SG_940_026A_5_g</t>
  </si>
  <si>
    <t>SG_940_026A_6</t>
  </si>
  <si>
    <t>SG_940_026A_7</t>
  </si>
  <si>
    <t>SG_940_048A_1</t>
  </si>
  <si>
    <t>SG_940_048A_1_g</t>
  </si>
  <si>
    <t>SG_940_048A_10</t>
  </si>
  <si>
    <t>SG_940_048A_10_g</t>
  </si>
  <si>
    <t>SG_940_048A_2</t>
  </si>
  <si>
    <t>SG_940_048A_2_g</t>
  </si>
  <si>
    <t>SG_940_048A_3</t>
  </si>
  <si>
    <t>SG_940_048A_3_g</t>
  </si>
  <si>
    <t>SG_940_048A_4</t>
  </si>
  <si>
    <t>SG_940_048A_4_g</t>
  </si>
  <si>
    <t>SG_940_048A_5</t>
  </si>
  <si>
    <t>SG_940_048A_5_g</t>
  </si>
  <si>
    <t>SG_940_048A_6</t>
  </si>
  <si>
    <t>SG_940_048A_6_g</t>
  </si>
  <si>
    <t>SG_940_048A_7</t>
  </si>
  <si>
    <t>SG_940_048A_7_g</t>
  </si>
  <si>
    <t>SG_940_048A_8</t>
  </si>
  <si>
    <t>SG_940_048A_8_g</t>
  </si>
  <si>
    <t>SG_940_048A_9_g</t>
  </si>
  <si>
    <t>SG_940_048A_cam</t>
  </si>
  <si>
    <t>SG_940_048A_cam_g</t>
  </si>
  <si>
    <t>SG_940_048A_lb</t>
  </si>
  <si>
    <t>SG_940_048A_lb_g</t>
  </si>
  <si>
    <t>SG_940_048A_lt</t>
  </si>
  <si>
    <t>SG_940_048A_lt_g</t>
  </si>
  <si>
    <t>SG_940_048A_rb</t>
  </si>
  <si>
    <t>SG_940_048A_rb_g</t>
  </si>
  <si>
    <t>SG_940_048A_rt</t>
  </si>
  <si>
    <t>SG_940_048A_rt_g</t>
  </si>
  <si>
    <t>SG_940_079A_1</t>
  </si>
  <si>
    <t>SG_940_079A_1_g</t>
  </si>
  <si>
    <t>SG_940_079A_10</t>
  </si>
  <si>
    <t>SG_940_079A_10_g</t>
  </si>
  <si>
    <t>SG_940_079A_2</t>
  </si>
  <si>
    <t>SG_940_079A_2_g</t>
  </si>
  <si>
    <t>SG_940_079A_3</t>
  </si>
  <si>
    <t>SG_940_079A_3_g</t>
  </si>
  <si>
    <t>SG_940_079A_4</t>
  </si>
  <si>
    <t>SG_940_079A_4_g</t>
  </si>
  <si>
    <t>SG_940_079A_5</t>
  </si>
  <si>
    <t>SG_940_079A_5_g</t>
  </si>
  <si>
    <t>SG_940_079A_6</t>
  </si>
  <si>
    <t>SG_940_079A_6_g</t>
  </si>
  <si>
    <t>SG_940_079A_7</t>
  </si>
  <si>
    <t>SG_940_079A_7_g</t>
  </si>
  <si>
    <t>SG_940_079A_8</t>
  </si>
  <si>
    <t>SG_940_079A_8_g</t>
  </si>
  <si>
    <t>SG_940_079A_9_g</t>
  </si>
  <si>
    <t>SG_940_079A_cam</t>
  </si>
  <si>
    <t>SG_940_079A_cam_g</t>
  </si>
  <si>
    <t>SG_940_079A_lb</t>
  </si>
  <si>
    <t>SG_940_079A_lb_g</t>
  </si>
  <si>
    <t>SG_940_079A_lt</t>
  </si>
  <si>
    <t>SG_940_079A_lt_g</t>
  </si>
  <si>
    <t>SG_940_079A_rb</t>
  </si>
  <si>
    <t>SG_940_079A_rb_g</t>
  </si>
  <si>
    <t>SG_940_079A_rt</t>
  </si>
  <si>
    <t>SG_940_079A_rt_g</t>
  </si>
  <si>
    <t>SG_940_102A_1</t>
  </si>
  <si>
    <t>SG_940_102A_1_g</t>
  </si>
  <si>
    <t>SG_940_102A_10</t>
  </si>
  <si>
    <t>SG_940_102A_10_g</t>
  </si>
  <si>
    <t>SG_940_102A_2</t>
  </si>
  <si>
    <t>SG_940_102A_2_g</t>
  </si>
  <si>
    <t>SG_940_102A_3</t>
  </si>
  <si>
    <t>SG_940_102A_3_g</t>
  </si>
  <si>
    <t>SG_940_102A_4</t>
  </si>
  <si>
    <t>SG_940_102A_4_g</t>
  </si>
  <si>
    <t>SG_940_102A_5</t>
  </si>
  <si>
    <t>SG_940_102A_5_g</t>
  </si>
  <si>
    <t>SG_940_102A_6</t>
  </si>
  <si>
    <t>SG_940_102A_6_g</t>
  </si>
  <si>
    <t>SG_940_102A_7</t>
  </si>
  <si>
    <t>SG_940_102A_7_g</t>
  </si>
  <si>
    <t>SG_940_102A_8</t>
  </si>
  <si>
    <t>SG_940_102A_8_g</t>
  </si>
  <si>
    <t>SG_940_102A_9_g</t>
  </si>
  <si>
    <t>SG_940_102A_cam</t>
  </si>
  <si>
    <t>SG_940_102A_cam_g</t>
  </si>
  <si>
    <t>SG_940_102A_lb</t>
  </si>
  <si>
    <t>SG_940_102A_lb_g</t>
  </si>
  <si>
    <t>SG_940_102A_lt</t>
  </si>
  <si>
    <t>SG_940_102A_lt_g</t>
  </si>
  <si>
    <t>SG_940_102A_rb_g</t>
  </si>
  <si>
    <t>SG_940_102A_rt</t>
  </si>
  <si>
    <t>SG_940_102A_rt_g</t>
  </si>
  <si>
    <t>SG_940_150A_1</t>
  </si>
  <si>
    <t>SG_940_150A_1_g</t>
  </si>
  <si>
    <t>SG_940_150A_10_g</t>
  </si>
  <si>
    <t>SG_940_150A_2</t>
  </si>
  <si>
    <t>SG_940_150A_2_g</t>
  </si>
  <si>
    <t>SG_940_150A_3</t>
  </si>
  <si>
    <t>SG_940_150A_3_g</t>
  </si>
  <si>
    <t>SG_940_150A_4</t>
  </si>
  <si>
    <t>SG_940_150A_4_g</t>
  </si>
  <si>
    <t>SG_940_150A_5</t>
  </si>
  <si>
    <t>SG_940_150A_5_g</t>
  </si>
  <si>
    <t>SG_940_150A_6_g</t>
  </si>
  <si>
    <t>SG_940_150A_7_g</t>
  </si>
  <si>
    <t>SG_940_150A_8</t>
  </si>
  <si>
    <t>SG_940_150A_8_g</t>
  </si>
  <si>
    <t>SG_940_150A_9</t>
  </si>
  <si>
    <t>SG_940_150A_9_g</t>
  </si>
  <si>
    <t>SG_940_150A_cam</t>
  </si>
  <si>
    <t>SG_940_150A_cam_g</t>
  </si>
  <si>
    <t>SG_940_150A_lb_g</t>
  </si>
  <si>
    <t>SG_940_150A_lt</t>
  </si>
  <si>
    <t>SG_940_150A_lt_g</t>
  </si>
  <si>
    <t>SG_940_150A_rb_g</t>
  </si>
  <si>
    <t>SG_940_150A_rt</t>
  </si>
  <si>
    <t>SG_940_150A_rt_g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</si>
</sst>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02"/>
  <sheetViews>
    <sheetView tabSelected="1" topLeftCell="M293" zoomScaleNormal="100" workbookViewId="0">
      <selection activeCell="T389" sqref="T389:U389"/>
    </sheetView>
  </sheetViews>
  <sheetFormatPr defaultRowHeight="14.5" x14ac:dyDescent="0.35"/>
  <cols>
    <col min="14" max="14" width="21.3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1" hidden="1" x14ac:dyDescent="0.35">
      <c r="A2" t="s">
        <v>6</v>
      </c>
      <c r="B2">
        <v>200</v>
      </c>
      <c r="C2">
        <v>156</v>
      </c>
      <c r="D2">
        <v>15</v>
      </c>
      <c r="E2">
        <v>10</v>
      </c>
      <c r="F2">
        <v>18.02775638</v>
      </c>
      <c r="J2" t="s">
        <v>6</v>
      </c>
      <c r="K2">
        <v>122</v>
      </c>
      <c r="L2">
        <v>242</v>
      </c>
      <c r="N2" t="s">
        <v>6</v>
      </c>
      <c r="O2">
        <v>31</v>
      </c>
      <c r="Q2">
        <v>116.1034022</v>
      </c>
      <c r="R2">
        <v>12.97224362</v>
      </c>
      <c r="S2">
        <v>108.4085613</v>
      </c>
      <c r="T2">
        <v>15.53336534</v>
      </c>
    </row>
    <row r="3" spans="1:21" hidden="1" x14ac:dyDescent="0.35">
      <c r="A3" t="s">
        <v>7</v>
      </c>
      <c r="B3">
        <v>214</v>
      </c>
      <c r="C3">
        <v>207</v>
      </c>
      <c r="D3">
        <v>20</v>
      </c>
      <c r="E3">
        <v>5</v>
      </c>
      <c r="F3">
        <v>20.615528130000001</v>
      </c>
      <c r="J3" t="s">
        <v>7</v>
      </c>
      <c r="K3">
        <v>381</v>
      </c>
      <c r="L3">
        <v>104</v>
      </c>
      <c r="N3" t="s">
        <v>7</v>
      </c>
      <c r="O3">
        <v>21</v>
      </c>
      <c r="Q3">
        <v>196.20907220000001</v>
      </c>
      <c r="R3">
        <v>0.38447186999999999</v>
      </c>
      <c r="S3">
        <v>109.0096763</v>
      </c>
      <c r="T3">
        <v>4.195211241</v>
      </c>
    </row>
    <row r="4" spans="1:21" hidden="1" x14ac:dyDescent="0.35">
      <c r="A4" t="s">
        <v>8</v>
      </c>
      <c r="B4">
        <v>155</v>
      </c>
      <c r="C4">
        <v>185</v>
      </c>
      <c r="D4">
        <v>7</v>
      </c>
      <c r="E4">
        <v>12</v>
      </c>
      <c r="F4">
        <v>13.89244399</v>
      </c>
      <c r="J4" t="s">
        <v>8</v>
      </c>
      <c r="K4">
        <v>156</v>
      </c>
      <c r="L4">
        <v>159</v>
      </c>
      <c r="N4" t="s">
        <v>8</v>
      </c>
      <c r="O4">
        <v>92</v>
      </c>
      <c r="Q4">
        <v>26.019223660000002</v>
      </c>
      <c r="R4">
        <v>78.107556009999996</v>
      </c>
      <c r="S4">
        <v>114.11327780000001</v>
      </c>
      <c r="T4">
        <v>26.559501229999999</v>
      </c>
    </row>
    <row r="5" spans="1:21" x14ac:dyDescent="0.35">
      <c r="A5" t="s">
        <v>9</v>
      </c>
      <c r="B5">
        <v>145</v>
      </c>
      <c r="C5">
        <v>211</v>
      </c>
      <c r="D5">
        <v>7</v>
      </c>
      <c r="E5">
        <v>15</v>
      </c>
      <c r="F5">
        <v>16.552945359999999</v>
      </c>
      <c r="J5" t="s">
        <v>9</v>
      </c>
      <c r="K5">
        <v>169</v>
      </c>
      <c r="L5">
        <v>217</v>
      </c>
      <c r="N5" t="s">
        <v>9</v>
      </c>
      <c r="O5">
        <v>13</v>
      </c>
      <c r="Q5">
        <v>24.738633750000002</v>
      </c>
      <c r="R5">
        <v>3.5529453599999998</v>
      </c>
      <c r="T5">
        <f>AVERAGE(Q5,Q13,Q23,Q29,Q31)</f>
        <v>16.198563479200001</v>
      </c>
      <c r="U5">
        <f>AVERAGE(R5,R13,R23,R29,R31)</f>
        <v>5.2077434519999999</v>
      </c>
    </row>
    <row r="6" spans="1:21" hidden="1" x14ac:dyDescent="0.35">
      <c r="A6" t="s">
        <v>10</v>
      </c>
      <c r="B6">
        <v>215</v>
      </c>
      <c r="C6">
        <v>182</v>
      </c>
      <c r="D6">
        <v>17</v>
      </c>
      <c r="E6">
        <v>9</v>
      </c>
      <c r="F6">
        <v>19.235384060000001</v>
      </c>
      <c r="J6" t="s">
        <v>10</v>
      </c>
      <c r="K6">
        <v>365</v>
      </c>
      <c r="L6">
        <v>222</v>
      </c>
      <c r="N6" t="s">
        <v>10</v>
      </c>
      <c r="O6">
        <v>26</v>
      </c>
      <c r="Q6">
        <v>155.241747</v>
      </c>
      <c r="R6">
        <v>6.7646159399999997</v>
      </c>
    </row>
    <row r="7" spans="1:21" hidden="1" x14ac:dyDescent="0.35">
      <c r="A7" t="s">
        <v>11</v>
      </c>
      <c r="B7">
        <v>187</v>
      </c>
      <c r="C7">
        <v>167</v>
      </c>
      <c r="D7">
        <v>13</v>
      </c>
      <c r="E7">
        <v>9</v>
      </c>
      <c r="F7">
        <v>15.811388300000001</v>
      </c>
      <c r="J7" t="s">
        <v>11</v>
      </c>
      <c r="K7">
        <v>342</v>
      </c>
      <c r="L7">
        <v>95</v>
      </c>
      <c r="N7" t="s">
        <v>11</v>
      </c>
      <c r="O7">
        <v>15</v>
      </c>
      <c r="Q7">
        <v>170.9064071</v>
      </c>
      <c r="R7">
        <v>0.81138829999999995</v>
      </c>
    </row>
    <row r="8" spans="1:21" hidden="1" x14ac:dyDescent="0.35">
      <c r="A8" t="s">
        <v>12</v>
      </c>
      <c r="B8">
        <v>166</v>
      </c>
      <c r="C8">
        <v>175</v>
      </c>
      <c r="D8">
        <v>14</v>
      </c>
      <c r="E8">
        <v>10</v>
      </c>
      <c r="F8">
        <v>17.204650529999999</v>
      </c>
      <c r="J8" t="s">
        <v>12</v>
      </c>
      <c r="K8">
        <v>85</v>
      </c>
      <c r="L8">
        <v>237</v>
      </c>
      <c r="N8" t="s">
        <v>12</v>
      </c>
      <c r="O8">
        <v>26</v>
      </c>
      <c r="Q8">
        <v>102.0049018</v>
      </c>
      <c r="R8">
        <v>8.7953494699999997</v>
      </c>
    </row>
    <row r="9" spans="1:21" hidden="1" x14ac:dyDescent="0.35">
      <c r="A9" t="s">
        <v>13</v>
      </c>
      <c r="B9">
        <v>201</v>
      </c>
      <c r="C9">
        <v>159</v>
      </c>
      <c r="D9">
        <v>16</v>
      </c>
      <c r="E9">
        <v>9</v>
      </c>
      <c r="F9">
        <v>18.35755975</v>
      </c>
      <c r="J9" t="s">
        <v>13</v>
      </c>
      <c r="K9">
        <v>101</v>
      </c>
      <c r="L9">
        <v>171</v>
      </c>
      <c r="N9" t="s">
        <v>13</v>
      </c>
      <c r="O9">
        <v>23</v>
      </c>
      <c r="Q9">
        <v>100.7174265</v>
      </c>
      <c r="R9">
        <v>4.6424402499999999</v>
      </c>
    </row>
    <row r="10" spans="1:21" hidden="1" x14ac:dyDescent="0.35">
      <c r="A10" t="s">
        <v>14</v>
      </c>
      <c r="B10">
        <v>189</v>
      </c>
      <c r="C10">
        <v>179</v>
      </c>
      <c r="D10">
        <v>18</v>
      </c>
      <c r="E10">
        <v>11</v>
      </c>
      <c r="F10">
        <v>21.09502311</v>
      </c>
      <c r="J10" t="s">
        <v>14</v>
      </c>
      <c r="K10">
        <v>353</v>
      </c>
      <c r="L10">
        <v>218</v>
      </c>
      <c r="N10" t="s">
        <v>14</v>
      </c>
      <c r="O10">
        <v>26</v>
      </c>
      <c r="Q10">
        <v>168.57342610000001</v>
      </c>
      <c r="R10">
        <v>4.9049768900000004</v>
      </c>
    </row>
    <row r="11" spans="1:21" hidden="1" x14ac:dyDescent="0.35">
      <c r="A11" t="s">
        <v>15</v>
      </c>
      <c r="B11">
        <v>190</v>
      </c>
      <c r="C11">
        <v>182</v>
      </c>
      <c r="D11">
        <v>14</v>
      </c>
      <c r="E11">
        <v>8</v>
      </c>
      <c r="F11">
        <v>16.124515500000001</v>
      </c>
      <c r="J11" t="s">
        <v>15</v>
      </c>
      <c r="K11">
        <v>85</v>
      </c>
      <c r="L11">
        <v>182</v>
      </c>
      <c r="N11" t="s">
        <v>15</v>
      </c>
      <c r="O11">
        <v>17</v>
      </c>
      <c r="Q11">
        <v>105</v>
      </c>
      <c r="R11">
        <v>0.8754845</v>
      </c>
    </row>
    <row r="12" spans="1:21" hidden="1" x14ac:dyDescent="0.35">
      <c r="A12" t="s">
        <v>16</v>
      </c>
      <c r="B12">
        <v>182</v>
      </c>
      <c r="C12">
        <v>166</v>
      </c>
      <c r="D12">
        <v>17</v>
      </c>
      <c r="E12">
        <v>7</v>
      </c>
      <c r="F12">
        <v>18.384776309999999</v>
      </c>
      <c r="J12" t="s">
        <v>16</v>
      </c>
      <c r="K12">
        <v>347</v>
      </c>
      <c r="L12">
        <v>193</v>
      </c>
      <c r="N12" t="s">
        <v>16</v>
      </c>
      <c r="O12">
        <v>19</v>
      </c>
      <c r="Q12">
        <v>167.19449750000001</v>
      </c>
      <c r="R12">
        <v>0.61522368999999999</v>
      </c>
    </row>
    <row r="13" spans="1:21" x14ac:dyDescent="0.35">
      <c r="A13" t="s">
        <v>17</v>
      </c>
      <c r="B13">
        <v>183</v>
      </c>
      <c r="C13">
        <v>164</v>
      </c>
      <c r="D13">
        <v>12</v>
      </c>
      <c r="E13">
        <v>9</v>
      </c>
      <c r="F13">
        <v>15</v>
      </c>
      <c r="J13" t="s">
        <v>17</v>
      </c>
      <c r="K13">
        <v>178</v>
      </c>
      <c r="L13">
        <v>170</v>
      </c>
      <c r="N13" t="s">
        <v>17</v>
      </c>
      <c r="O13">
        <v>20</v>
      </c>
      <c r="Q13">
        <v>7.8102496759999998</v>
      </c>
      <c r="R13">
        <v>5</v>
      </c>
    </row>
    <row r="14" spans="1:21" hidden="1" x14ac:dyDescent="0.35">
      <c r="A14" t="s">
        <v>18</v>
      </c>
      <c r="B14">
        <v>189</v>
      </c>
      <c r="C14">
        <v>218</v>
      </c>
      <c r="D14">
        <v>14</v>
      </c>
      <c r="E14">
        <v>6</v>
      </c>
      <c r="F14">
        <v>15.231546209999999</v>
      </c>
      <c r="J14" t="s">
        <v>18</v>
      </c>
      <c r="K14">
        <v>235</v>
      </c>
      <c r="L14">
        <v>354</v>
      </c>
      <c r="N14" t="s">
        <v>18</v>
      </c>
      <c r="O14">
        <v>35</v>
      </c>
      <c r="Q14">
        <v>143.5687988</v>
      </c>
      <c r="R14">
        <v>19.768453789999999</v>
      </c>
    </row>
    <row r="15" spans="1:21" hidden="1" x14ac:dyDescent="0.35">
      <c r="A15" t="s">
        <v>19</v>
      </c>
      <c r="B15">
        <v>211</v>
      </c>
      <c r="C15">
        <v>188</v>
      </c>
      <c r="D15">
        <v>11</v>
      </c>
      <c r="E15">
        <v>15</v>
      </c>
      <c r="F15">
        <v>18.60107524</v>
      </c>
      <c r="J15" t="s">
        <v>19</v>
      </c>
      <c r="K15">
        <v>310</v>
      </c>
      <c r="L15">
        <v>82</v>
      </c>
      <c r="N15" t="s">
        <v>19</v>
      </c>
      <c r="O15">
        <v>25</v>
      </c>
      <c r="Q15">
        <v>145.0413734</v>
      </c>
      <c r="R15">
        <v>6.3989247599999999</v>
      </c>
    </row>
    <row r="16" spans="1:21" hidden="1" x14ac:dyDescent="0.35">
      <c r="A16" t="s">
        <v>20</v>
      </c>
      <c r="B16">
        <v>185</v>
      </c>
      <c r="C16">
        <v>188</v>
      </c>
      <c r="D16">
        <v>15</v>
      </c>
      <c r="E16">
        <v>8</v>
      </c>
      <c r="F16">
        <v>17</v>
      </c>
      <c r="J16" t="s">
        <v>20</v>
      </c>
      <c r="K16">
        <v>162</v>
      </c>
      <c r="L16">
        <v>158</v>
      </c>
      <c r="N16" t="s">
        <v>20</v>
      </c>
      <c r="O16">
        <v>111</v>
      </c>
      <c r="Q16">
        <v>37.802116339999998</v>
      </c>
      <c r="R16">
        <v>94</v>
      </c>
    </row>
    <row r="17" spans="1:18" hidden="1" x14ac:dyDescent="0.35">
      <c r="A17" t="s">
        <v>21</v>
      </c>
      <c r="B17">
        <v>221</v>
      </c>
      <c r="C17">
        <v>168</v>
      </c>
      <c r="D17">
        <v>14</v>
      </c>
      <c r="E17">
        <v>10</v>
      </c>
      <c r="F17">
        <v>17.204650529999999</v>
      </c>
      <c r="J17" t="s">
        <v>21</v>
      </c>
      <c r="K17">
        <v>362</v>
      </c>
      <c r="L17">
        <v>76</v>
      </c>
      <c r="N17" t="s">
        <v>21</v>
      </c>
      <c r="O17">
        <v>19</v>
      </c>
      <c r="Q17">
        <v>168.35973390000001</v>
      </c>
      <c r="R17">
        <v>1.7953494699999999</v>
      </c>
    </row>
    <row r="18" spans="1:18" hidden="1" x14ac:dyDescent="0.35">
      <c r="A18" t="s">
        <v>22</v>
      </c>
      <c r="B18">
        <v>218</v>
      </c>
      <c r="C18">
        <v>194</v>
      </c>
      <c r="D18">
        <v>18</v>
      </c>
      <c r="E18">
        <v>9</v>
      </c>
      <c r="F18">
        <v>20.1246118</v>
      </c>
      <c r="J18" t="s">
        <v>22</v>
      </c>
      <c r="K18">
        <v>128</v>
      </c>
      <c r="L18">
        <v>161</v>
      </c>
      <c r="N18" t="s">
        <v>22</v>
      </c>
      <c r="O18">
        <v>78</v>
      </c>
      <c r="Q18">
        <v>95.859271849999999</v>
      </c>
      <c r="R18">
        <v>57.875388200000003</v>
      </c>
    </row>
    <row r="19" spans="1:18" hidden="1" x14ac:dyDescent="0.35">
      <c r="A19" t="s">
        <v>23</v>
      </c>
      <c r="B19">
        <v>238</v>
      </c>
      <c r="C19">
        <v>189</v>
      </c>
      <c r="D19">
        <v>17</v>
      </c>
      <c r="E19">
        <v>9</v>
      </c>
      <c r="F19">
        <v>19.235384060000001</v>
      </c>
      <c r="J19" t="s">
        <v>23</v>
      </c>
      <c r="K19">
        <v>388</v>
      </c>
      <c r="L19">
        <v>118</v>
      </c>
      <c r="N19" t="s">
        <v>23</v>
      </c>
      <c r="O19">
        <v>21</v>
      </c>
      <c r="Q19">
        <v>165.9548131</v>
      </c>
      <c r="R19">
        <v>1.7646159400000001</v>
      </c>
    </row>
    <row r="20" spans="1:18" hidden="1" x14ac:dyDescent="0.35">
      <c r="A20" t="s">
        <v>24</v>
      </c>
      <c r="B20">
        <v>186</v>
      </c>
      <c r="C20">
        <v>193</v>
      </c>
      <c r="D20">
        <v>15</v>
      </c>
      <c r="E20">
        <v>10</v>
      </c>
      <c r="F20">
        <v>18.02775638</v>
      </c>
      <c r="J20" t="s">
        <v>24</v>
      </c>
      <c r="K20">
        <v>341</v>
      </c>
      <c r="L20">
        <v>206</v>
      </c>
      <c r="N20" t="s">
        <v>24</v>
      </c>
      <c r="O20">
        <v>19</v>
      </c>
      <c r="Q20">
        <v>155.54420590000001</v>
      </c>
      <c r="R20">
        <v>0.97224361999999998</v>
      </c>
    </row>
    <row r="21" spans="1:18" hidden="1" x14ac:dyDescent="0.35">
      <c r="A21" t="s">
        <v>25</v>
      </c>
      <c r="B21">
        <v>161</v>
      </c>
      <c r="C21">
        <v>211</v>
      </c>
      <c r="D21">
        <v>12</v>
      </c>
      <c r="E21">
        <v>8</v>
      </c>
      <c r="F21">
        <v>14.422205099999999</v>
      </c>
      <c r="J21" t="s">
        <v>25</v>
      </c>
      <c r="K21">
        <v>335</v>
      </c>
      <c r="L21">
        <v>115</v>
      </c>
      <c r="N21" t="s">
        <v>25</v>
      </c>
      <c r="O21">
        <v>26</v>
      </c>
      <c r="Q21">
        <v>198.72594190000001</v>
      </c>
      <c r="R21">
        <v>11.577794900000001</v>
      </c>
    </row>
    <row r="22" spans="1:18" hidden="1" x14ac:dyDescent="0.35">
      <c r="A22" t="s">
        <v>26</v>
      </c>
      <c r="B22">
        <v>165</v>
      </c>
      <c r="C22">
        <v>162</v>
      </c>
      <c r="D22">
        <v>16</v>
      </c>
      <c r="E22">
        <v>8</v>
      </c>
      <c r="F22">
        <v>17.888543819999999</v>
      </c>
      <c r="J22" t="s">
        <v>26</v>
      </c>
      <c r="K22">
        <v>127</v>
      </c>
      <c r="L22">
        <v>165</v>
      </c>
      <c r="N22" t="s">
        <v>26</v>
      </c>
      <c r="O22">
        <v>82</v>
      </c>
      <c r="Q22">
        <v>38.118237110000003</v>
      </c>
      <c r="R22">
        <v>64.111456180000005</v>
      </c>
    </row>
    <row r="23" spans="1:18" x14ac:dyDescent="0.35">
      <c r="A23" t="s">
        <v>27</v>
      </c>
      <c r="B23">
        <v>173</v>
      </c>
      <c r="C23">
        <v>184</v>
      </c>
      <c r="D23">
        <v>12</v>
      </c>
      <c r="E23">
        <v>15</v>
      </c>
      <c r="F23">
        <v>19.20937271</v>
      </c>
      <c r="J23" t="s">
        <v>27</v>
      </c>
      <c r="K23">
        <v>174</v>
      </c>
      <c r="L23">
        <v>161</v>
      </c>
      <c r="N23" t="s">
        <v>27</v>
      </c>
      <c r="O23">
        <v>20</v>
      </c>
      <c r="Q23">
        <v>23.02172887</v>
      </c>
      <c r="R23">
        <v>0.79062728999999998</v>
      </c>
    </row>
    <row r="24" spans="1:18" hidden="1" x14ac:dyDescent="0.35">
      <c r="A24" t="s">
        <v>28</v>
      </c>
      <c r="B24">
        <v>224</v>
      </c>
      <c r="C24">
        <v>197</v>
      </c>
      <c r="D24">
        <v>7</v>
      </c>
      <c r="E24">
        <v>12</v>
      </c>
      <c r="F24">
        <v>13.89244399</v>
      </c>
      <c r="J24" t="s">
        <v>28</v>
      </c>
      <c r="K24">
        <v>202</v>
      </c>
      <c r="L24">
        <v>314</v>
      </c>
      <c r="N24" t="s">
        <v>28</v>
      </c>
      <c r="O24">
        <v>15</v>
      </c>
      <c r="Q24">
        <v>119.0504095</v>
      </c>
      <c r="R24">
        <v>1.1075560099999999</v>
      </c>
    </row>
    <row r="25" spans="1:18" hidden="1" x14ac:dyDescent="0.35">
      <c r="A25" t="s">
        <v>29</v>
      </c>
      <c r="B25">
        <v>227</v>
      </c>
      <c r="C25">
        <v>190</v>
      </c>
      <c r="D25">
        <v>6</v>
      </c>
      <c r="E25">
        <v>12</v>
      </c>
      <c r="F25">
        <v>13.41640786</v>
      </c>
      <c r="J25" t="s">
        <v>29</v>
      </c>
      <c r="K25">
        <v>187</v>
      </c>
      <c r="L25">
        <v>192</v>
      </c>
      <c r="N25" t="s">
        <v>29</v>
      </c>
      <c r="O25">
        <v>18</v>
      </c>
      <c r="Q25">
        <v>40.049968790000001</v>
      </c>
      <c r="R25">
        <v>4.5835921400000004</v>
      </c>
    </row>
    <row r="26" spans="1:18" hidden="1" x14ac:dyDescent="0.35">
      <c r="A26" t="s">
        <v>30</v>
      </c>
      <c r="B26">
        <v>190</v>
      </c>
      <c r="C26">
        <v>167</v>
      </c>
      <c r="D26">
        <v>5</v>
      </c>
      <c r="E26">
        <v>10</v>
      </c>
      <c r="F26">
        <v>11.180339890000001</v>
      </c>
      <c r="J26" t="s">
        <v>30</v>
      </c>
      <c r="K26">
        <v>314</v>
      </c>
      <c r="L26">
        <v>220</v>
      </c>
      <c r="N26" t="s">
        <v>30</v>
      </c>
      <c r="O26">
        <v>28</v>
      </c>
      <c r="Q26">
        <v>134.85177049999999</v>
      </c>
      <c r="R26">
        <v>16.819660110000001</v>
      </c>
    </row>
    <row r="27" spans="1:18" hidden="1" x14ac:dyDescent="0.35">
      <c r="A27" t="s">
        <v>31</v>
      </c>
      <c r="B27">
        <v>198</v>
      </c>
      <c r="C27">
        <v>169</v>
      </c>
      <c r="D27">
        <v>13</v>
      </c>
      <c r="E27">
        <v>8</v>
      </c>
      <c r="F27">
        <v>15.26433752</v>
      </c>
      <c r="J27" t="s">
        <v>31</v>
      </c>
      <c r="K27">
        <v>349</v>
      </c>
      <c r="L27">
        <v>94</v>
      </c>
      <c r="N27" t="s">
        <v>31</v>
      </c>
      <c r="O27">
        <v>24</v>
      </c>
      <c r="Q27">
        <v>168.6001186</v>
      </c>
      <c r="R27">
        <v>8.7356624800000002</v>
      </c>
    </row>
    <row r="28" spans="1:18" hidden="1" x14ac:dyDescent="0.35">
      <c r="A28" t="s">
        <v>32</v>
      </c>
      <c r="B28">
        <v>177</v>
      </c>
      <c r="C28">
        <v>189</v>
      </c>
      <c r="D28">
        <v>8</v>
      </c>
      <c r="E28">
        <v>12</v>
      </c>
      <c r="F28">
        <v>14.422205099999999</v>
      </c>
      <c r="J28" t="s">
        <v>32</v>
      </c>
      <c r="K28">
        <v>338</v>
      </c>
      <c r="L28">
        <v>206</v>
      </c>
      <c r="N28" t="s">
        <v>32</v>
      </c>
      <c r="O28">
        <v>34</v>
      </c>
      <c r="Q28">
        <v>161.89502770000001</v>
      </c>
      <c r="R28">
        <v>19.577794900000001</v>
      </c>
    </row>
    <row r="29" spans="1:18" x14ac:dyDescent="0.35">
      <c r="A29" t="s">
        <v>33</v>
      </c>
      <c r="B29">
        <v>144</v>
      </c>
      <c r="C29">
        <v>204</v>
      </c>
      <c r="D29">
        <v>10</v>
      </c>
      <c r="E29">
        <v>5</v>
      </c>
      <c r="F29">
        <v>11.180339890000001</v>
      </c>
      <c r="J29" t="s">
        <v>33</v>
      </c>
      <c r="K29">
        <v>144</v>
      </c>
      <c r="L29">
        <v>215</v>
      </c>
      <c r="N29" t="s">
        <v>33</v>
      </c>
      <c r="O29">
        <v>19</v>
      </c>
      <c r="Q29">
        <v>11</v>
      </c>
      <c r="R29">
        <v>7.8196601100000001</v>
      </c>
    </row>
    <row r="30" spans="1:18" hidden="1" x14ac:dyDescent="0.35">
      <c r="A30" t="s">
        <v>34</v>
      </c>
      <c r="B30">
        <v>155</v>
      </c>
      <c r="C30">
        <v>173</v>
      </c>
      <c r="D30">
        <v>15</v>
      </c>
      <c r="E30">
        <v>8</v>
      </c>
      <c r="F30">
        <v>17</v>
      </c>
      <c r="J30" t="s">
        <v>34</v>
      </c>
      <c r="K30">
        <v>104</v>
      </c>
      <c r="L30">
        <v>247</v>
      </c>
      <c r="N30" t="s">
        <v>34</v>
      </c>
      <c r="O30">
        <v>29</v>
      </c>
      <c r="Q30">
        <v>89.872131390000007</v>
      </c>
      <c r="R30">
        <v>12</v>
      </c>
    </row>
    <row r="31" spans="1:18" x14ac:dyDescent="0.35">
      <c r="A31" t="s">
        <v>35</v>
      </c>
      <c r="B31">
        <v>170</v>
      </c>
      <c r="C31">
        <v>172</v>
      </c>
      <c r="D31">
        <v>14</v>
      </c>
      <c r="E31">
        <v>8</v>
      </c>
      <c r="F31">
        <v>16.124515500000001</v>
      </c>
      <c r="J31" t="s">
        <v>35</v>
      </c>
      <c r="K31">
        <v>162</v>
      </c>
      <c r="L31">
        <v>184</v>
      </c>
      <c r="N31" t="s">
        <v>35</v>
      </c>
      <c r="O31">
        <v>25</v>
      </c>
      <c r="Q31">
        <v>14.422205099999999</v>
      </c>
      <c r="R31">
        <v>8.8754845000000007</v>
      </c>
    </row>
    <row r="32" spans="1:18" hidden="1" x14ac:dyDescent="0.35">
      <c r="A32" t="s">
        <v>36</v>
      </c>
      <c r="B32">
        <v>202</v>
      </c>
      <c r="C32">
        <v>170</v>
      </c>
      <c r="D32">
        <v>15</v>
      </c>
      <c r="E32">
        <v>7</v>
      </c>
      <c r="F32">
        <v>16.552945359999999</v>
      </c>
      <c r="J32" t="s">
        <v>36</v>
      </c>
      <c r="K32">
        <v>100</v>
      </c>
      <c r="L32">
        <v>164</v>
      </c>
      <c r="N32" t="s">
        <v>36</v>
      </c>
      <c r="O32">
        <v>26</v>
      </c>
      <c r="Q32">
        <v>102.1763182</v>
      </c>
      <c r="R32">
        <v>9.4470546399999993</v>
      </c>
    </row>
    <row r="33" spans="1:21" x14ac:dyDescent="0.35">
      <c r="A33" t="s">
        <v>37</v>
      </c>
      <c r="B33">
        <v>236</v>
      </c>
      <c r="C33">
        <v>161</v>
      </c>
      <c r="D33">
        <v>16</v>
      </c>
      <c r="E33">
        <v>5</v>
      </c>
      <c r="F33">
        <v>16.763054610000001</v>
      </c>
      <c r="J33" t="s">
        <v>37</v>
      </c>
      <c r="K33">
        <v>229</v>
      </c>
      <c r="L33">
        <v>163</v>
      </c>
      <c r="N33" t="s">
        <v>37</v>
      </c>
      <c r="O33">
        <v>26</v>
      </c>
      <c r="Q33">
        <v>7.2801098890000002</v>
      </c>
      <c r="R33">
        <v>9.2369453900000007</v>
      </c>
      <c r="T33">
        <f>AVERAGE(Q33,Q39,Q47,Q51,Q53,Q55,Q61)</f>
        <v>13.723344093857145</v>
      </c>
      <c r="U33">
        <f>AVERAGE(R33,R39,R47,R51,R53,R55,R61)</f>
        <v>5.7799285271428573</v>
      </c>
    </row>
    <row r="34" spans="1:21" hidden="1" x14ac:dyDescent="0.35">
      <c r="A34" t="s">
        <v>38</v>
      </c>
      <c r="B34">
        <v>172</v>
      </c>
      <c r="C34">
        <v>189</v>
      </c>
      <c r="D34">
        <v>14</v>
      </c>
      <c r="E34">
        <v>7</v>
      </c>
      <c r="F34">
        <v>15.652475839999999</v>
      </c>
      <c r="J34" t="s">
        <v>38</v>
      </c>
      <c r="K34">
        <v>90</v>
      </c>
      <c r="L34">
        <v>173</v>
      </c>
      <c r="N34" t="s">
        <v>38</v>
      </c>
      <c r="O34">
        <v>24</v>
      </c>
      <c r="Q34">
        <v>83.546394300000003</v>
      </c>
      <c r="R34">
        <v>8.3475241600000007</v>
      </c>
    </row>
    <row r="35" spans="1:21" hidden="1" x14ac:dyDescent="0.35">
      <c r="A35" t="s">
        <v>39</v>
      </c>
      <c r="B35">
        <v>174</v>
      </c>
      <c r="C35">
        <v>180</v>
      </c>
      <c r="D35">
        <v>13</v>
      </c>
      <c r="E35">
        <v>5</v>
      </c>
      <c r="F35">
        <v>13.92838828</v>
      </c>
      <c r="J35" t="s">
        <v>39</v>
      </c>
      <c r="K35">
        <v>326</v>
      </c>
      <c r="L35">
        <v>81</v>
      </c>
      <c r="N35" t="s">
        <v>39</v>
      </c>
      <c r="O35">
        <v>21</v>
      </c>
      <c r="Q35">
        <v>181.39735390000001</v>
      </c>
      <c r="R35">
        <v>7.0716117199999999</v>
      </c>
    </row>
    <row r="36" spans="1:21" hidden="1" x14ac:dyDescent="0.35">
      <c r="A36" t="s">
        <v>40</v>
      </c>
      <c r="B36">
        <v>211</v>
      </c>
      <c r="C36">
        <v>196</v>
      </c>
      <c r="D36">
        <v>16</v>
      </c>
      <c r="E36">
        <v>7</v>
      </c>
      <c r="F36">
        <v>17.464249200000001</v>
      </c>
      <c r="J36" t="s">
        <v>40</v>
      </c>
      <c r="K36">
        <v>127</v>
      </c>
      <c r="L36">
        <v>186</v>
      </c>
      <c r="N36" t="s">
        <v>40</v>
      </c>
      <c r="O36">
        <v>24</v>
      </c>
      <c r="Q36">
        <v>84.593143929999997</v>
      </c>
      <c r="R36">
        <v>6.5357507999999997</v>
      </c>
    </row>
    <row r="37" spans="1:21" hidden="1" x14ac:dyDescent="0.35">
      <c r="A37" t="s">
        <v>41</v>
      </c>
      <c r="B37">
        <v>194</v>
      </c>
      <c r="C37">
        <v>172</v>
      </c>
      <c r="D37">
        <v>13</v>
      </c>
      <c r="E37">
        <v>10</v>
      </c>
      <c r="F37">
        <v>16.401219470000001</v>
      </c>
      <c r="J37" t="s">
        <v>41</v>
      </c>
      <c r="K37">
        <v>345</v>
      </c>
      <c r="L37">
        <v>90</v>
      </c>
      <c r="N37" t="s">
        <v>41</v>
      </c>
      <c r="O37">
        <v>24</v>
      </c>
      <c r="Q37">
        <v>171.82840279999999</v>
      </c>
      <c r="R37">
        <v>7.59878053</v>
      </c>
    </row>
    <row r="38" spans="1:21" hidden="1" x14ac:dyDescent="0.35">
      <c r="A38" t="s">
        <v>42</v>
      </c>
      <c r="B38">
        <v>173</v>
      </c>
      <c r="C38">
        <v>169</v>
      </c>
      <c r="D38">
        <v>16</v>
      </c>
      <c r="E38">
        <v>7</v>
      </c>
      <c r="F38">
        <v>17.464249200000001</v>
      </c>
      <c r="J38" t="s">
        <v>42</v>
      </c>
      <c r="K38">
        <v>331</v>
      </c>
      <c r="L38">
        <v>209</v>
      </c>
      <c r="N38" t="s">
        <v>42</v>
      </c>
      <c r="O38">
        <v>25</v>
      </c>
      <c r="Q38">
        <v>162.98466189999999</v>
      </c>
      <c r="R38">
        <v>7.5357507999999997</v>
      </c>
    </row>
    <row r="39" spans="1:21" x14ac:dyDescent="0.35">
      <c r="A39" t="s">
        <v>43</v>
      </c>
      <c r="B39">
        <v>178</v>
      </c>
      <c r="C39">
        <v>159</v>
      </c>
      <c r="D39">
        <v>14</v>
      </c>
      <c r="E39">
        <v>7</v>
      </c>
      <c r="F39">
        <v>15.652475839999999</v>
      </c>
      <c r="J39" t="s">
        <v>43</v>
      </c>
      <c r="K39">
        <v>178</v>
      </c>
      <c r="L39">
        <v>173</v>
      </c>
      <c r="N39" t="s">
        <v>43</v>
      </c>
      <c r="O39">
        <v>19</v>
      </c>
      <c r="Q39">
        <v>14</v>
      </c>
      <c r="R39">
        <v>3.3475241599999999</v>
      </c>
    </row>
    <row r="40" spans="1:21" hidden="1" x14ac:dyDescent="0.35">
      <c r="A40" t="s">
        <v>44</v>
      </c>
      <c r="B40">
        <v>161</v>
      </c>
      <c r="C40">
        <v>185</v>
      </c>
      <c r="D40">
        <v>16</v>
      </c>
      <c r="E40">
        <v>6</v>
      </c>
      <c r="F40">
        <v>17.088007489999999</v>
      </c>
      <c r="J40" t="s">
        <v>44</v>
      </c>
      <c r="K40">
        <v>306</v>
      </c>
      <c r="L40">
        <v>252</v>
      </c>
      <c r="N40" t="s">
        <v>44</v>
      </c>
      <c r="O40">
        <v>14</v>
      </c>
      <c r="Q40">
        <v>159.7310239</v>
      </c>
      <c r="R40">
        <v>3.0880074899999999</v>
      </c>
    </row>
    <row r="41" spans="1:21" hidden="1" x14ac:dyDescent="0.35">
      <c r="A41" t="s">
        <v>45</v>
      </c>
      <c r="B41">
        <v>170</v>
      </c>
      <c r="C41">
        <v>170</v>
      </c>
      <c r="D41">
        <v>16</v>
      </c>
      <c r="E41">
        <v>6</v>
      </c>
      <c r="F41">
        <v>17.088007489999999</v>
      </c>
      <c r="J41" t="s">
        <v>45</v>
      </c>
      <c r="K41">
        <v>332</v>
      </c>
      <c r="L41">
        <v>86</v>
      </c>
      <c r="N41" t="s">
        <v>45</v>
      </c>
      <c r="O41">
        <v>22</v>
      </c>
      <c r="Q41">
        <v>182.48287590000001</v>
      </c>
      <c r="R41">
        <v>4.9119925100000001</v>
      </c>
    </row>
    <row r="42" spans="1:21" hidden="1" x14ac:dyDescent="0.35">
      <c r="A42" t="s">
        <v>46</v>
      </c>
      <c r="B42">
        <v>168</v>
      </c>
      <c r="C42">
        <v>174</v>
      </c>
      <c r="D42">
        <v>15</v>
      </c>
      <c r="E42">
        <v>4</v>
      </c>
      <c r="F42">
        <v>15.5241747</v>
      </c>
      <c r="J42" t="s">
        <v>46</v>
      </c>
      <c r="K42">
        <v>83</v>
      </c>
      <c r="L42">
        <v>160</v>
      </c>
      <c r="N42" t="s">
        <v>46</v>
      </c>
      <c r="O42">
        <v>25</v>
      </c>
      <c r="Q42">
        <v>86.145226219999998</v>
      </c>
      <c r="R42">
        <v>9.4758253000000003</v>
      </c>
    </row>
    <row r="43" spans="1:21" hidden="1" x14ac:dyDescent="0.35">
      <c r="A43" t="s">
        <v>47</v>
      </c>
      <c r="B43">
        <v>196</v>
      </c>
      <c r="C43">
        <v>159</v>
      </c>
      <c r="D43">
        <v>14</v>
      </c>
      <c r="E43">
        <v>9</v>
      </c>
      <c r="F43">
        <v>16.643316980000002</v>
      </c>
      <c r="J43" t="s">
        <v>47</v>
      </c>
      <c r="K43">
        <v>342</v>
      </c>
      <c r="L43">
        <v>69</v>
      </c>
      <c r="N43" t="s">
        <v>47</v>
      </c>
      <c r="O43">
        <v>25</v>
      </c>
      <c r="Q43">
        <v>171.51093259999999</v>
      </c>
      <c r="R43">
        <v>8.3566830200000002</v>
      </c>
    </row>
    <row r="44" spans="1:21" hidden="1" x14ac:dyDescent="0.35">
      <c r="A44" t="s">
        <v>48</v>
      </c>
      <c r="B44">
        <v>175</v>
      </c>
      <c r="C44">
        <v>188</v>
      </c>
      <c r="D44">
        <v>14</v>
      </c>
      <c r="E44">
        <v>6</v>
      </c>
      <c r="F44">
        <v>15.231546209999999</v>
      </c>
      <c r="J44" t="s">
        <v>48</v>
      </c>
      <c r="K44">
        <v>88</v>
      </c>
      <c r="L44">
        <v>169</v>
      </c>
      <c r="N44" t="s">
        <v>48</v>
      </c>
      <c r="O44">
        <v>27</v>
      </c>
      <c r="Q44">
        <v>89.050547440000003</v>
      </c>
      <c r="R44">
        <v>11.768453790000001</v>
      </c>
    </row>
    <row r="45" spans="1:21" hidden="1" x14ac:dyDescent="0.35">
      <c r="A45" t="s">
        <v>49</v>
      </c>
      <c r="B45">
        <v>195</v>
      </c>
      <c r="C45">
        <v>165</v>
      </c>
      <c r="D45">
        <v>9</v>
      </c>
      <c r="E45">
        <v>11</v>
      </c>
      <c r="F45">
        <v>14.2126704</v>
      </c>
      <c r="J45" t="s">
        <v>49</v>
      </c>
      <c r="K45">
        <v>328</v>
      </c>
      <c r="L45">
        <v>75</v>
      </c>
      <c r="N45" t="s">
        <v>49</v>
      </c>
      <c r="O45">
        <v>26</v>
      </c>
      <c r="Q45">
        <v>160.58953890000001</v>
      </c>
      <c r="R45">
        <v>11.7873296</v>
      </c>
    </row>
    <row r="46" spans="1:21" hidden="1" x14ac:dyDescent="0.35">
      <c r="A46" t="s">
        <v>50</v>
      </c>
      <c r="B46">
        <v>231</v>
      </c>
      <c r="C46">
        <v>196</v>
      </c>
      <c r="D46">
        <v>14</v>
      </c>
      <c r="E46">
        <v>5</v>
      </c>
      <c r="F46">
        <v>14.86606875</v>
      </c>
      <c r="J46" t="s">
        <v>50</v>
      </c>
      <c r="K46">
        <v>338</v>
      </c>
      <c r="L46">
        <v>305</v>
      </c>
      <c r="N46" t="s">
        <v>50</v>
      </c>
      <c r="O46">
        <v>17</v>
      </c>
      <c r="Q46">
        <v>152.74161190000001</v>
      </c>
      <c r="R46">
        <v>2.1339312499999998</v>
      </c>
    </row>
    <row r="47" spans="1:21" x14ac:dyDescent="0.35">
      <c r="A47" t="s">
        <v>51</v>
      </c>
      <c r="B47">
        <v>236</v>
      </c>
      <c r="C47">
        <v>172</v>
      </c>
      <c r="D47">
        <v>13</v>
      </c>
      <c r="E47">
        <v>10</v>
      </c>
      <c r="F47">
        <v>16.401219470000001</v>
      </c>
      <c r="J47" t="s">
        <v>51</v>
      </c>
      <c r="K47">
        <v>225</v>
      </c>
      <c r="L47">
        <v>179</v>
      </c>
      <c r="N47" t="s">
        <v>51</v>
      </c>
      <c r="O47">
        <v>22</v>
      </c>
      <c r="Q47">
        <v>13.038404809999999</v>
      </c>
      <c r="R47">
        <v>5.59878053</v>
      </c>
    </row>
    <row r="48" spans="1:21" hidden="1" x14ac:dyDescent="0.35">
      <c r="A48" t="s">
        <v>52</v>
      </c>
      <c r="B48">
        <v>213</v>
      </c>
      <c r="C48">
        <v>186</v>
      </c>
      <c r="D48">
        <v>13</v>
      </c>
      <c r="E48">
        <v>5</v>
      </c>
      <c r="F48">
        <v>13.92838828</v>
      </c>
      <c r="J48" t="s">
        <v>52</v>
      </c>
      <c r="K48">
        <v>262</v>
      </c>
      <c r="L48">
        <v>171</v>
      </c>
      <c r="N48" t="s">
        <v>52</v>
      </c>
      <c r="O48">
        <v>58</v>
      </c>
      <c r="Q48">
        <v>51.244511899999999</v>
      </c>
      <c r="R48">
        <v>44.07161172</v>
      </c>
    </row>
    <row r="49" spans="1:21" hidden="1" x14ac:dyDescent="0.35">
      <c r="A49" t="s">
        <v>53</v>
      </c>
      <c r="B49">
        <v>197</v>
      </c>
      <c r="C49">
        <v>186</v>
      </c>
      <c r="D49">
        <v>12</v>
      </c>
      <c r="E49">
        <v>6</v>
      </c>
      <c r="F49">
        <v>13.41640786</v>
      </c>
      <c r="J49" t="s">
        <v>53</v>
      </c>
      <c r="K49">
        <v>265</v>
      </c>
      <c r="L49">
        <v>199</v>
      </c>
      <c r="N49" t="s">
        <v>53</v>
      </c>
      <c r="O49">
        <v>13</v>
      </c>
      <c r="Q49">
        <v>69.231495719999998</v>
      </c>
      <c r="R49">
        <v>0.41640786000000002</v>
      </c>
    </row>
    <row r="50" spans="1:21" hidden="1" x14ac:dyDescent="0.35">
      <c r="A50" t="s">
        <v>54</v>
      </c>
      <c r="B50">
        <v>185</v>
      </c>
      <c r="C50">
        <v>209</v>
      </c>
      <c r="D50">
        <v>12</v>
      </c>
      <c r="E50">
        <v>7</v>
      </c>
      <c r="F50">
        <v>13.89244399</v>
      </c>
      <c r="J50" t="s">
        <v>54</v>
      </c>
      <c r="K50">
        <v>313</v>
      </c>
      <c r="L50">
        <v>310</v>
      </c>
      <c r="N50" t="s">
        <v>54</v>
      </c>
      <c r="O50">
        <v>19</v>
      </c>
      <c r="Q50">
        <v>163.0490724</v>
      </c>
      <c r="R50">
        <v>5.1075560099999997</v>
      </c>
    </row>
    <row r="51" spans="1:21" x14ac:dyDescent="0.35">
      <c r="A51" t="s">
        <v>55</v>
      </c>
      <c r="B51">
        <v>174</v>
      </c>
      <c r="C51">
        <v>170</v>
      </c>
      <c r="D51">
        <v>14</v>
      </c>
      <c r="E51">
        <v>8</v>
      </c>
      <c r="F51">
        <v>16.124515500000001</v>
      </c>
      <c r="J51" t="s">
        <v>55</v>
      </c>
      <c r="K51">
        <v>173</v>
      </c>
      <c r="L51">
        <v>178</v>
      </c>
      <c r="N51" t="s">
        <v>55</v>
      </c>
      <c r="O51">
        <v>26</v>
      </c>
      <c r="Q51">
        <v>8.0622577480000004</v>
      </c>
      <c r="R51">
        <v>9.8754845000000007</v>
      </c>
    </row>
    <row r="52" spans="1:21" hidden="1" x14ac:dyDescent="0.35">
      <c r="A52" t="s">
        <v>56</v>
      </c>
      <c r="B52">
        <v>156</v>
      </c>
      <c r="C52">
        <v>161</v>
      </c>
      <c r="D52">
        <v>14</v>
      </c>
      <c r="E52">
        <v>9</v>
      </c>
      <c r="F52">
        <v>16.643316980000002</v>
      </c>
      <c r="J52" t="s">
        <v>56</v>
      </c>
      <c r="K52">
        <v>273</v>
      </c>
      <c r="L52">
        <v>106</v>
      </c>
      <c r="N52" t="s">
        <v>56</v>
      </c>
      <c r="O52">
        <v>79</v>
      </c>
      <c r="Q52">
        <v>129.28263609999999</v>
      </c>
      <c r="R52">
        <v>62.356683019999998</v>
      </c>
    </row>
    <row r="53" spans="1:21" x14ac:dyDescent="0.35">
      <c r="A53" t="s">
        <v>57</v>
      </c>
      <c r="B53">
        <v>189</v>
      </c>
      <c r="C53">
        <v>162</v>
      </c>
      <c r="D53">
        <v>18</v>
      </c>
      <c r="E53">
        <v>8</v>
      </c>
      <c r="F53">
        <v>19.697715599999999</v>
      </c>
      <c r="J53" t="s">
        <v>57</v>
      </c>
      <c r="K53">
        <v>199</v>
      </c>
      <c r="L53">
        <v>146</v>
      </c>
      <c r="N53" t="s">
        <v>57</v>
      </c>
      <c r="O53">
        <v>21</v>
      </c>
      <c r="Q53">
        <v>18.867962259999999</v>
      </c>
      <c r="R53">
        <v>1.3022844</v>
      </c>
    </row>
    <row r="54" spans="1:21" hidden="1" x14ac:dyDescent="0.35">
      <c r="A54" t="s">
        <v>58</v>
      </c>
      <c r="B54">
        <v>177</v>
      </c>
      <c r="C54">
        <v>188</v>
      </c>
      <c r="D54">
        <v>12</v>
      </c>
      <c r="E54">
        <v>8</v>
      </c>
      <c r="F54">
        <v>14.422205099999999</v>
      </c>
      <c r="J54" t="s">
        <v>58</v>
      </c>
      <c r="K54">
        <v>91</v>
      </c>
      <c r="L54">
        <v>227</v>
      </c>
      <c r="N54" t="s">
        <v>58</v>
      </c>
      <c r="O54">
        <v>22</v>
      </c>
      <c r="Q54">
        <v>94.429868159999998</v>
      </c>
      <c r="R54">
        <v>7.5777948999999998</v>
      </c>
    </row>
    <row r="55" spans="1:21" x14ac:dyDescent="0.35">
      <c r="A55" t="s">
        <v>59</v>
      </c>
      <c r="B55">
        <v>216</v>
      </c>
      <c r="C55">
        <v>215</v>
      </c>
      <c r="D55">
        <v>10</v>
      </c>
      <c r="E55">
        <v>5</v>
      </c>
      <c r="F55">
        <v>11.180339890000001</v>
      </c>
      <c r="J55" t="s">
        <v>59</v>
      </c>
      <c r="K55">
        <v>195</v>
      </c>
      <c r="L55">
        <v>218</v>
      </c>
      <c r="N55" t="s">
        <v>59</v>
      </c>
      <c r="O55">
        <v>19</v>
      </c>
      <c r="Q55">
        <v>21.213203440000001</v>
      </c>
      <c r="R55">
        <v>7.8196601100000001</v>
      </c>
    </row>
    <row r="56" spans="1:21" hidden="1" x14ac:dyDescent="0.35">
      <c r="A56" t="s">
        <v>60</v>
      </c>
      <c r="B56">
        <v>167</v>
      </c>
      <c r="C56">
        <v>157</v>
      </c>
      <c r="D56">
        <v>13</v>
      </c>
      <c r="E56">
        <v>7</v>
      </c>
      <c r="F56">
        <v>14.764823059999999</v>
      </c>
      <c r="J56" t="s">
        <v>60</v>
      </c>
      <c r="K56">
        <v>77</v>
      </c>
      <c r="L56">
        <v>228</v>
      </c>
      <c r="N56" t="s">
        <v>60</v>
      </c>
      <c r="O56">
        <v>26</v>
      </c>
      <c r="Q56">
        <v>114.6342008</v>
      </c>
      <c r="R56">
        <v>11.235176940000001</v>
      </c>
    </row>
    <row r="57" spans="1:21" hidden="1" x14ac:dyDescent="0.35">
      <c r="A57" t="s">
        <v>61</v>
      </c>
      <c r="B57">
        <v>209</v>
      </c>
      <c r="C57">
        <v>163</v>
      </c>
      <c r="D57">
        <v>14</v>
      </c>
      <c r="E57">
        <v>9</v>
      </c>
      <c r="F57">
        <v>16.643316980000002</v>
      </c>
      <c r="J57" t="s">
        <v>61</v>
      </c>
      <c r="K57">
        <v>334</v>
      </c>
      <c r="L57">
        <v>90</v>
      </c>
      <c r="N57" t="s">
        <v>61</v>
      </c>
      <c r="O57">
        <v>22</v>
      </c>
      <c r="Q57">
        <v>144.7549654</v>
      </c>
      <c r="R57">
        <v>5.3566830200000002</v>
      </c>
    </row>
    <row r="58" spans="1:21" hidden="1" x14ac:dyDescent="0.35">
      <c r="A58" t="s">
        <v>62</v>
      </c>
      <c r="B58">
        <v>153</v>
      </c>
      <c r="C58">
        <v>205</v>
      </c>
      <c r="D58">
        <v>10</v>
      </c>
      <c r="E58">
        <v>2</v>
      </c>
      <c r="F58">
        <v>10.19803903</v>
      </c>
      <c r="J58" t="s">
        <v>62</v>
      </c>
      <c r="K58">
        <v>324</v>
      </c>
      <c r="L58">
        <v>218</v>
      </c>
      <c r="N58" t="s">
        <v>62</v>
      </c>
      <c r="O58">
        <v>20</v>
      </c>
      <c r="Q58">
        <v>171.49344009999999</v>
      </c>
      <c r="R58">
        <v>9.8019609699999997</v>
      </c>
    </row>
    <row r="59" spans="1:21" hidden="1" x14ac:dyDescent="0.35">
      <c r="A59" t="s">
        <v>63</v>
      </c>
      <c r="B59">
        <v>171</v>
      </c>
      <c r="C59">
        <v>197</v>
      </c>
      <c r="D59">
        <v>13</v>
      </c>
      <c r="E59">
        <v>5</v>
      </c>
      <c r="F59">
        <v>13.92838828</v>
      </c>
      <c r="J59" t="s">
        <v>63</v>
      </c>
      <c r="K59">
        <v>261</v>
      </c>
      <c r="L59">
        <v>212</v>
      </c>
      <c r="N59" t="s">
        <v>63</v>
      </c>
      <c r="O59">
        <v>15</v>
      </c>
      <c r="Q59">
        <v>91.241437950000005</v>
      </c>
      <c r="R59">
        <v>1.0716117199999999</v>
      </c>
    </row>
    <row r="60" spans="1:21" hidden="1" x14ac:dyDescent="0.35">
      <c r="A60" t="s">
        <v>64</v>
      </c>
      <c r="B60">
        <v>134</v>
      </c>
      <c r="C60">
        <v>146</v>
      </c>
      <c r="D60">
        <v>16</v>
      </c>
      <c r="E60">
        <v>8</v>
      </c>
      <c r="F60">
        <v>17.888543819999999</v>
      </c>
      <c r="J60" t="s">
        <v>64</v>
      </c>
      <c r="K60">
        <v>93</v>
      </c>
      <c r="L60">
        <v>217</v>
      </c>
      <c r="N60" t="s">
        <v>64</v>
      </c>
      <c r="O60">
        <v>25</v>
      </c>
      <c r="Q60">
        <v>81.987803970000002</v>
      </c>
      <c r="R60">
        <v>7.1114561800000002</v>
      </c>
    </row>
    <row r="61" spans="1:21" x14ac:dyDescent="0.35">
      <c r="A61" t="s">
        <v>65</v>
      </c>
      <c r="B61">
        <v>197</v>
      </c>
      <c r="C61">
        <v>174</v>
      </c>
      <c r="D61">
        <v>11</v>
      </c>
      <c r="E61">
        <v>12</v>
      </c>
      <c r="F61">
        <v>16.2788206</v>
      </c>
      <c r="J61" t="s">
        <v>65</v>
      </c>
      <c r="K61">
        <v>201</v>
      </c>
      <c r="L61">
        <v>187</v>
      </c>
      <c r="N61" t="s">
        <v>65</v>
      </c>
      <c r="O61">
        <v>13</v>
      </c>
      <c r="Q61">
        <v>13.60147051</v>
      </c>
      <c r="R61">
        <v>3.2788206</v>
      </c>
    </row>
    <row r="62" spans="1:21" x14ac:dyDescent="0.35">
      <c r="A62" t="s">
        <v>66</v>
      </c>
      <c r="B62">
        <v>184</v>
      </c>
      <c r="C62">
        <v>175</v>
      </c>
      <c r="D62">
        <v>14</v>
      </c>
      <c r="E62">
        <v>9</v>
      </c>
      <c r="F62">
        <v>16.643316980000002</v>
      </c>
      <c r="J62" t="s">
        <v>66</v>
      </c>
      <c r="K62">
        <v>188</v>
      </c>
      <c r="L62">
        <v>172</v>
      </c>
      <c r="N62" t="s">
        <v>66</v>
      </c>
      <c r="O62">
        <v>14</v>
      </c>
      <c r="Q62">
        <v>5</v>
      </c>
      <c r="R62">
        <v>2.6433169799999998</v>
      </c>
      <c r="T62">
        <f>AVERAGE(Q62,Q64,Q67,Q69,Q71,Q73,Q74,Q75,Q77,Q78,Q85,Q89)</f>
        <v>7.4619439630000004</v>
      </c>
      <c r="U62">
        <f>AVERAGE(R62,R64,R67,R69,R71,R73,R74,R75,R77,R78,R85,R89)</f>
        <v>3.9388961216666663</v>
      </c>
    </row>
    <row r="63" spans="1:21" hidden="1" x14ac:dyDescent="0.35">
      <c r="A63" t="s">
        <v>67</v>
      </c>
      <c r="B63">
        <v>168</v>
      </c>
      <c r="C63">
        <v>179</v>
      </c>
      <c r="D63">
        <v>16</v>
      </c>
      <c r="E63">
        <v>5</v>
      </c>
      <c r="F63">
        <v>16.763054610000001</v>
      </c>
      <c r="J63" t="s">
        <v>67</v>
      </c>
      <c r="K63">
        <v>311</v>
      </c>
      <c r="L63">
        <v>111</v>
      </c>
      <c r="N63" t="s">
        <v>67</v>
      </c>
      <c r="O63">
        <v>26</v>
      </c>
      <c r="Q63">
        <v>158.344561</v>
      </c>
      <c r="R63">
        <v>9.2369453900000007</v>
      </c>
    </row>
    <row r="64" spans="1:21" x14ac:dyDescent="0.35">
      <c r="A64" t="s">
        <v>68</v>
      </c>
      <c r="B64">
        <v>191</v>
      </c>
      <c r="C64">
        <v>187</v>
      </c>
      <c r="D64">
        <v>17</v>
      </c>
      <c r="E64">
        <v>5</v>
      </c>
      <c r="F64">
        <v>17.720045150000001</v>
      </c>
      <c r="J64" t="s">
        <v>68</v>
      </c>
      <c r="K64">
        <v>185</v>
      </c>
      <c r="L64">
        <v>188</v>
      </c>
      <c r="N64" t="s">
        <v>68</v>
      </c>
      <c r="O64">
        <v>25</v>
      </c>
      <c r="Q64">
        <v>6.0827625300000001</v>
      </c>
      <c r="R64">
        <v>7.2799548500000002</v>
      </c>
      <c r="T64">
        <f>AVERAGE(Q67,Q69,Q71,Q73,Q75,Q77,Q89)</f>
        <v>7.4969488599999989</v>
      </c>
      <c r="U64">
        <f>AVERAGE(R67,R69,R71,R73,R75,R77,R89)</f>
        <v>4.4943020128571423</v>
      </c>
    </row>
    <row r="65" spans="1:21" hidden="1" x14ac:dyDescent="0.35">
      <c r="A65" t="s">
        <v>69</v>
      </c>
      <c r="B65">
        <v>162</v>
      </c>
      <c r="C65">
        <v>189</v>
      </c>
      <c r="D65">
        <v>12</v>
      </c>
      <c r="E65">
        <v>7</v>
      </c>
      <c r="F65">
        <v>13.89244399</v>
      </c>
      <c r="J65" t="s">
        <v>69</v>
      </c>
      <c r="K65">
        <v>249</v>
      </c>
      <c r="L65">
        <v>202</v>
      </c>
      <c r="N65" t="s">
        <v>69</v>
      </c>
      <c r="O65">
        <v>18</v>
      </c>
      <c r="Q65">
        <v>87.965902479999997</v>
      </c>
      <c r="R65">
        <v>4.1075560099999997</v>
      </c>
    </row>
    <row r="66" spans="1:21" hidden="1" x14ac:dyDescent="0.35">
      <c r="A66" t="s">
        <v>70</v>
      </c>
      <c r="B66">
        <v>197</v>
      </c>
      <c r="C66">
        <v>185</v>
      </c>
      <c r="D66">
        <v>14</v>
      </c>
      <c r="E66">
        <v>8</v>
      </c>
      <c r="F66">
        <v>16.124515500000001</v>
      </c>
      <c r="J66" t="s">
        <v>70</v>
      </c>
      <c r="K66">
        <v>114</v>
      </c>
      <c r="L66">
        <v>250</v>
      </c>
      <c r="N66" t="s">
        <v>70</v>
      </c>
      <c r="O66">
        <v>18</v>
      </c>
      <c r="Q66">
        <v>105.4229577</v>
      </c>
      <c r="R66">
        <v>1.8754845</v>
      </c>
    </row>
    <row r="67" spans="1:21" x14ac:dyDescent="0.35">
      <c r="A67" t="s">
        <v>71</v>
      </c>
      <c r="B67">
        <v>174</v>
      </c>
      <c r="C67">
        <v>187</v>
      </c>
      <c r="D67">
        <v>13</v>
      </c>
      <c r="E67">
        <v>9</v>
      </c>
      <c r="F67">
        <v>15.811388300000001</v>
      </c>
      <c r="J67" t="s">
        <v>71</v>
      </c>
      <c r="K67">
        <v>175</v>
      </c>
      <c r="L67">
        <v>196</v>
      </c>
      <c r="N67" t="s">
        <v>71</v>
      </c>
      <c r="O67">
        <v>15</v>
      </c>
      <c r="Q67">
        <v>9.0553851380000001</v>
      </c>
      <c r="R67">
        <v>0.81138829999999995</v>
      </c>
      <c r="T67">
        <f>AVERAGE(Q62,Q64,Q74,Q78,Q85)</f>
        <v>7.4129371071999994</v>
      </c>
      <c r="U67">
        <f>AVERAGE(R62,R64,R74,R78,R85)</f>
        <v>3.1613278740000004</v>
      </c>
    </row>
    <row r="68" spans="1:21" hidden="1" x14ac:dyDescent="0.35">
      <c r="A68" t="s">
        <v>72</v>
      </c>
      <c r="B68">
        <v>190</v>
      </c>
      <c r="C68">
        <v>199</v>
      </c>
      <c r="D68">
        <v>15</v>
      </c>
      <c r="E68">
        <v>8</v>
      </c>
      <c r="F68">
        <v>17</v>
      </c>
      <c r="J68" t="s">
        <v>72</v>
      </c>
      <c r="K68">
        <v>113</v>
      </c>
      <c r="L68">
        <v>271</v>
      </c>
      <c r="N68" t="s">
        <v>72</v>
      </c>
      <c r="O68">
        <v>18</v>
      </c>
      <c r="Q68">
        <v>105.41821469999999</v>
      </c>
      <c r="R68">
        <v>1</v>
      </c>
    </row>
    <row r="69" spans="1:21" x14ac:dyDescent="0.35">
      <c r="A69" t="s">
        <v>73</v>
      </c>
      <c r="B69">
        <v>175</v>
      </c>
      <c r="C69">
        <v>174</v>
      </c>
      <c r="D69">
        <v>15</v>
      </c>
      <c r="E69">
        <v>8</v>
      </c>
      <c r="F69">
        <v>17</v>
      </c>
      <c r="J69" t="s">
        <v>73</v>
      </c>
      <c r="K69">
        <v>175</v>
      </c>
      <c r="L69">
        <v>182</v>
      </c>
      <c r="N69" t="s">
        <v>73</v>
      </c>
      <c r="O69">
        <v>17</v>
      </c>
      <c r="Q69">
        <v>8</v>
      </c>
      <c r="R69">
        <v>0</v>
      </c>
    </row>
    <row r="70" spans="1:21" hidden="1" x14ac:dyDescent="0.35">
      <c r="A70" t="s">
        <v>74</v>
      </c>
      <c r="B70">
        <v>167</v>
      </c>
      <c r="C70">
        <v>183</v>
      </c>
      <c r="D70">
        <v>18</v>
      </c>
      <c r="E70">
        <v>8</v>
      </c>
      <c r="F70">
        <v>19.697715599999999</v>
      </c>
      <c r="J70" t="s">
        <v>74</v>
      </c>
      <c r="K70">
        <v>95</v>
      </c>
      <c r="L70">
        <v>244</v>
      </c>
      <c r="N70" t="s">
        <v>74</v>
      </c>
      <c r="O70">
        <v>16</v>
      </c>
      <c r="Q70">
        <v>94.366307550000002</v>
      </c>
      <c r="R70">
        <v>3.6977156</v>
      </c>
    </row>
    <row r="71" spans="1:21" x14ac:dyDescent="0.35">
      <c r="A71" t="s">
        <v>75</v>
      </c>
      <c r="B71">
        <v>165</v>
      </c>
      <c r="C71">
        <v>182</v>
      </c>
      <c r="D71">
        <v>14</v>
      </c>
      <c r="E71">
        <v>10</v>
      </c>
      <c r="F71">
        <v>17.204650529999999</v>
      </c>
      <c r="J71" t="s">
        <v>75</v>
      </c>
      <c r="K71">
        <v>163</v>
      </c>
      <c r="L71">
        <v>185</v>
      </c>
      <c r="N71" t="s">
        <v>75</v>
      </c>
      <c r="O71">
        <v>25</v>
      </c>
      <c r="Q71">
        <v>3.6055512749999998</v>
      </c>
      <c r="R71">
        <v>7.7953494699999997</v>
      </c>
    </row>
    <row r="72" spans="1:21" hidden="1" x14ac:dyDescent="0.35">
      <c r="A72" t="s">
        <v>76</v>
      </c>
      <c r="B72">
        <v>165</v>
      </c>
      <c r="C72">
        <v>179</v>
      </c>
      <c r="D72">
        <v>15</v>
      </c>
      <c r="E72">
        <v>8</v>
      </c>
      <c r="F72">
        <v>17</v>
      </c>
      <c r="J72" t="s">
        <v>76</v>
      </c>
      <c r="K72">
        <v>269</v>
      </c>
      <c r="L72">
        <v>194</v>
      </c>
      <c r="N72" t="s">
        <v>76</v>
      </c>
      <c r="O72">
        <v>14</v>
      </c>
      <c r="Q72">
        <v>105.0761629</v>
      </c>
      <c r="R72">
        <v>3</v>
      </c>
    </row>
    <row r="73" spans="1:21" x14ac:dyDescent="0.35">
      <c r="A73" t="s">
        <v>77</v>
      </c>
      <c r="B73">
        <v>182</v>
      </c>
      <c r="C73">
        <v>174</v>
      </c>
      <c r="D73">
        <v>15</v>
      </c>
      <c r="E73">
        <v>6</v>
      </c>
      <c r="F73">
        <v>16.15549442</v>
      </c>
      <c r="J73" t="s">
        <v>77</v>
      </c>
      <c r="K73">
        <v>185</v>
      </c>
      <c r="L73">
        <v>180</v>
      </c>
      <c r="N73" t="s">
        <v>77</v>
      </c>
      <c r="O73">
        <v>23</v>
      </c>
      <c r="Q73">
        <v>6.708203932</v>
      </c>
      <c r="R73">
        <v>6.8445055799999999</v>
      </c>
    </row>
    <row r="74" spans="1:21" x14ac:dyDescent="0.35">
      <c r="A74" t="s">
        <v>78</v>
      </c>
      <c r="B74">
        <v>179</v>
      </c>
      <c r="C74">
        <v>199</v>
      </c>
      <c r="D74">
        <v>15</v>
      </c>
      <c r="E74">
        <v>6</v>
      </c>
      <c r="F74">
        <v>16.15549442</v>
      </c>
      <c r="J74" t="s">
        <v>78</v>
      </c>
      <c r="K74">
        <v>177</v>
      </c>
      <c r="L74">
        <v>205</v>
      </c>
      <c r="N74" t="s">
        <v>78</v>
      </c>
      <c r="O74">
        <v>18</v>
      </c>
      <c r="Q74">
        <v>6.32455532</v>
      </c>
      <c r="R74">
        <v>1.8445055800000001</v>
      </c>
    </row>
    <row r="75" spans="1:21" x14ac:dyDescent="0.35">
      <c r="A75" t="s">
        <v>79</v>
      </c>
      <c r="B75">
        <v>182</v>
      </c>
      <c r="C75">
        <v>184</v>
      </c>
      <c r="D75">
        <v>17</v>
      </c>
      <c r="E75">
        <v>1</v>
      </c>
      <c r="F75">
        <v>17.029386370000001</v>
      </c>
      <c r="J75" t="s">
        <v>79</v>
      </c>
      <c r="K75">
        <v>177</v>
      </c>
      <c r="L75">
        <v>188</v>
      </c>
      <c r="N75" t="s">
        <v>79</v>
      </c>
      <c r="O75">
        <v>23</v>
      </c>
      <c r="Q75">
        <v>6.4031242370000001</v>
      </c>
      <c r="R75">
        <v>5.9706136299999999</v>
      </c>
    </row>
    <row r="76" spans="1:21" hidden="1" x14ac:dyDescent="0.35">
      <c r="A76" t="s">
        <v>80</v>
      </c>
      <c r="B76">
        <v>233</v>
      </c>
      <c r="C76">
        <v>201</v>
      </c>
      <c r="D76">
        <v>16</v>
      </c>
      <c r="E76">
        <v>8</v>
      </c>
      <c r="F76">
        <v>17.888543819999999</v>
      </c>
      <c r="J76" t="s">
        <v>80</v>
      </c>
      <c r="K76">
        <v>117</v>
      </c>
      <c r="L76">
        <v>181</v>
      </c>
      <c r="N76" t="s">
        <v>80</v>
      </c>
      <c r="O76">
        <v>37</v>
      </c>
      <c r="Q76">
        <v>117.7115118</v>
      </c>
      <c r="R76">
        <v>19.111456180000001</v>
      </c>
    </row>
    <row r="77" spans="1:21" x14ac:dyDescent="0.35">
      <c r="A77" t="s">
        <v>81</v>
      </c>
      <c r="B77">
        <v>192</v>
      </c>
      <c r="C77">
        <v>177</v>
      </c>
      <c r="D77">
        <v>15</v>
      </c>
      <c r="E77">
        <v>6</v>
      </c>
      <c r="F77">
        <v>16.15549442</v>
      </c>
      <c r="J77" t="s">
        <v>81</v>
      </c>
      <c r="K77">
        <v>185</v>
      </c>
      <c r="L77">
        <v>183</v>
      </c>
      <c r="N77" t="s">
        <v>81</v>
      </c>
      <c r="O77">
        <v>25</v>
      </c>
      <c r="Q77">
        <v>9.2195444569999996</v>
      </c>
      <c r="R77">
        <v>8.8445055799999999</v>
      </c>
    </row>
    <row r="78" spans="1:21" x14ac:dyDescent="0.35">
      <c r="A78" t="s">
        <v>82</v>
      </c>
      <c r="B78">
        <v>223</v>
      </c>
      <c r="C78">
        <v>226</v>
      </c>
      <c r="D78">
        <v>13</v>
      </c>
      <c r="E78">
        <v>6</v>
      </c>
      <c r="F78">
        <v>14.31782106</v>
      </c>
      <c r="J78" t="s">
        <v>82</v>
      </c>
      <c r="K78">
        <v>214</v>
      </c>
      <c r="L78">
        <v>234</v>
      </c>
      <c r="N78" t="s">
        <v>82</v>
      </c>
      <c r="O78">
        <v>15</v>
      </c>
      <c r="Q78">
        <v>12.04159458</v>
      </c>
      <c r="R78">
        <v>0.68217894000000001</v>
      </c>
    </row>
    <row r="79" spans="1:21" hidden="1" x14ac:dyDescent="0.35">
      <c r="A79" t="s">
        <v>83</v>
      </c>
      <c r="B79">
        <v>173</v>
      </c>
      <c r="C79">
        <v>183</v>
      </c>
      <c r="D79">
        <v>15</v>
      </c>
      <c r="E79">
        <v>7</v>
      </c>
      <c r="F79">
        <v>16.552945359999999</v>
      </c>
      <c r="J79" t="s">
        <v>83</v>
      </c>
      <c r="K79">
        <v>253</v>
      </c>
      <c r="L79">
        <v>189</v>
      </c>
      <c r="N79" t="s">
        <v>83</v>
      </c>
      <c r="O79">
        <v>14</v>
      </c>
      <c r="Q79">
        <v>80.224684479999993</v>
      </c>
      <c r="R79">
        <v>2.5529453599999998</v>
      </c>
    </row>
    <row r="80" spans="1:21" hidden="1" x14ac:dyDescent="0.35">
      <c r="A80" t="s">
        <v>84</v>
      </c>
      <c r="B80">
        <v>213</v>
      </c>
      <c r="C80">
        <v>220</v>
      </c>
      <c r="D80">
        <v>14</v>
      </c>
      <c r="E80">
        <v>7</v>
      </c>
      <c r="F80">
        <v>15.652475839999999</v>
      </c>
      <c r="J80" t="s">
        <v>84</v>
      </c>
      <c r="K80">
        <v>208</v>
      </c>
      <c r="L80">
        <v>111</v>
      </c>
      <c r="N80" t="s">
        <v>84</v>
      </c>
      <c r="O80">
        <v>51</v>
      </c>
      <c r="Q80">
        <v>109.1146186</v>
      </c>
      <c r="R80">
        <v>35.347524159999999</v>
      </c>
    </row>
    <row r="81" spans="1:21" hidden="1" x14ac:dyDescent="0.35">
      <c r="A81" t="s">
        <v>85</v>
      </c>
      <c r="B81">
        <v>203</v>
      </c>
      <c r="C81">
        <v>196</v>
      </c>
      <c r="D81">
        <v>14</v>
      </c>
      <c r="E81">
        <v>10</v>
      </c>
      <c r="F81">
        <v>17.204650529999999</v>
      </c>
      <c r="J81" t="s">
        <v>85</v>
      </c>
      <c r="K81">
        <v>278</v>
      </c>
      <c r="L81">
        <v>208</v>
      </c>
      <c r="N81" t="s">
        <v>85</v>
      </c>
      <c r="O81">
        <v>18</v>
      </c>
      <c r="Q81">
        <v>75.953933410000005</v>
      </c>
      <c r="R81">
        <v>0.79534947</v>
      </c>
    </row>
    <row r="82" spans="1:21" hidden="1" x14ac:dyDescent="0.35">
      <c r="A82" t="s">
        <v>86</v>
      </c>
      <c r="B82">
        <v>214</v>
      </c>
      <c r="C82">
        <v>173</v>
      </c>
      <c r="D82">
        <v>16</v>
      </c>
      <c r="E82">
        <v>9</v>
      </c>
      <c r="F82">
        <v>18.35755975</v>
      </c>
      <c r="J82" t="s">
        <v>86</v>
      </c>
      <c r="K82">
        <v>344</v>
      </c>
      <c r="L82">
        <v>263</v>
      </c>
      <c r="N82" t="s">
        <v>86</v>
      </c>
      <c r="O82">
        <v>16</v>
      </c>
      <c r="Q82">
        <v>158.11388299999999</v>
      </c>
      <c r="R82">
        <v>2.3575597500000001</v>
      </c>
    </row>
    <row r="83" spans="1:21" hidden="1" x14ac:dyDescent="0.35">
      <c r="A83" t="s">
        <v>87</v>
      </c>
      <c r="B83">
        <v>175</v>
      </c>
      <c r="C83">
        <v>143</v>
      </c>
      <c r="D83">
        <v>13</v>
      </c>
      <c r="E83">
        <v>7</v>
      </c>
      <c r="F83">
        <v>14.764823059999999</v>
      </c>
      <c r="J83" t="s">
        <v>87</v>
      </c>
      <c r="K83">
        <v>314</v>
      </c>
      <c r="L83">
        <v>74</v>
      </c>
      <c r="N83" t="s">
        <v>87</v>
      </c>
      <c r="O83">
        <v>26</v>
      </c>
      <c r="Q83">
        <v>155.183762</v>
      </c>
      <c r="R83">
        <v>11.235176940000001</v>
      </c>
    </row>
    <row r="84" spans="1:21" hidden="1" x14ac:dyDescent="0.35">
      <c r="A84" t="s">
        <v>88</v>
      </c>
      <c r="B84">
        <v>215</v>
      </c>
      <c r="C84">
        <v>197</v>
      </c>
      <c r="D84">
        <v>13</v>
      </c>
      <c r="E84">
        <v>6</v>
      </c>
      <c r="F84">
        <v>14.31782106</v>
      </c>
      <c r="J84" t="s">
        <v>88</v>
      </c>
      <c r="K84">
        <v>273</v>
      </c>
      <c r="L84">
        <v>212</v>
      </c>
      <c r="N84" t="s">
        <v>88</v>
      </c>
      <c r="O84">
        <v>24</v>
      </c>
      <c r="Q84">
        <v>59.9082632</v>
      </c>
      <c r="R84">
        <v>9.68217894</v>
      </c>
    </row>
    <row r="85" spans="1:21" x14ac:dyDescent="0.35">
      <c r="A85" t="s">
        <v>89</v>
      </c>
      <c r="B85">
        <v>214</v>
      </c>
      <c r="C85">
        <v>178</v>
      </c>
      <c r="D85">
        <v>14</v>
      </c>
      <c r="E85">
        <v>9</v>
      </c>
      <c r="F85">
        <v>16.643316980000002</v>
      </c>
      <c r="J85" t="s">
        <v>89</v>
      </c>
      <c r="K85">
        <v>211</v>
      </c>
      <c r="L85">
        <v>171</v>
      </c>
      <c r="N85" t="s">
        <v>89</v>
      </c>
      <c r="O85">
        <v>20</v>
      </c>
      <c r="Q85">
        <v>7.6157731059999998</v>
      </c>
      <c r="R85">
        <v>3.3566830200000002</v>
      </c>
    </row>
    <row r="86" spans="1:21" hidden="1" x14ac:dyDescent="0.35">
      <c r="A86" t="s">
        <v>90</v>
      </c>
      <c r="B86">
        <v>185</v>
      </c>
      <c r="C86">
        <v>161</v>
      </c>
      <c r="D86">
        <v>15</v>
      </c>
      <c r="E86">
        <v>7</v>
      </c>
      <c r="F86">
        <v>16.552945359999999</v>
      </c>
      <c r="J86" t="s">
        <v>90</v>
      </c>
      <c r="K86">
        <v>298</v>
      </c>
      <c r="L86">
        <v>87</v>
      </c>
      <c r="N86" t="s">
        <v>90</v>
      </c>
      <c r="O86">
        <v>27</v>
      </c>
      <c r="Q86">
        <v>135.0740538</v>
      </c>
      <c r="R86">
        <v>10.447054639999999</v>
      </c>
    </row>
    <row r="87" spans="1:21" hidden="1" x14ac:dyDescent="0.35">
      <c r="A87" t="s">
        <v>91</v>
      </c>
      <c r="B87">
        <v>168</v>
      </c>
      <c r="C87">
        <v>192</v>
      </c>
      <c r="D87">
        <v>12</v>
      </c>
      <c r="E87">
        <v>6</v>
      </c>
      <c r="F87">
        <v>13.41640786</v>
      </c>
      <c r="J87" t="s">
        <v>91</v>
      </c>
      <c r="K87">
        <v>320</v>
      </c>
      <c r="L87">
        <v>95</v>
      </c>
      <c r="N87" t="s">
        <v>91</v>
      </c>
      <c r="O87">
        <v>20</v>
      </c>
      <c r="Q87">
        <v>180.31361570000001</v>
      </c>
      <c r="R87">
        <v>6.5835921400000004</v>
      </c>
    </row>
    <row r="88" spans="1:21" hidden="1" x14ac:dyDescent="0.35">
      <c r="A88" t="s">
        <v>92</v>
      </c>
      <c r="B88">
        <v>137</v>
      </c>
      <c r="C88">
        <v>170</v>
      </c>
      <c r="D88">
        <v>14</v>
      </c>
      <c r="E88">
        <v>9</v>
      </c>
      <c r="F88">
        <v>16.643316980000002</v>
      </c>
      <c r="J88" t="s">
        <v>92</v>
      </c>
      <c r="K88">
        <v>280</v>
      </c>
      <c r="L88">
        <v>252</v>
      </c>
      <c r="N88" t="s">
        <v>92</v>
      </c>
      <c r="O88">
        <v>15</v>
      </c>
      <c r="Q88">
        <v>164.84234889999999</v>
      </c>
      <c r="R88">
        <v>1.64331698</v>
      </c>
    </row>
    <row r="89" spans="1:21" x14ac:dyDescent="0.35">
      <c r="A89" t="s">
        <v>93</v>
      </c>
      <c r="B89">
        <v>174</v>
      </c>
      <c r="C89">
        <v>165</v>
      </c>
      <c r="D89">
        <v>10</v>
      </c>
      <c r="E89">
        <v>8</v>
      </c>
      <c r="F89">
        <v>12.80624847</v>
      </c>
      <c r="J89" t="s">
        <v>93</v>
      </c>
      <c r="K89">
        <v>177</v>
      </c>
      <c r="L89">
        <v>174</v>
      </c>
      <c r="N89" t="s">
        <v>93</v>
      </c>
      <c r="O89">
        <v>14</v>
      </c>
      <c r="Q89">
        <v>9.4868329809999992</v>
      </c>
      <c r="R89">
        <v>1.1937515299999999</v>
      </c>
    </row>
    <row r="90" spans="1:21" hidden="1" x14ac:dyDescent="0.35">
      <c r="A90" t="s">
        <v>94</v>
      </c>
      <c r="B90">
        <v>193</v>
      </c>
      <c r="C90">
        <v>171</v>
      </c>
      <c r="D90">
        <v>12</v>
      </c>
      <c r="E90">
        <v>11</v>
      </c>
      <c r="F90">
        <v>16.2788206</v>
      </c>
      <c r="J90" t="s">
        <v>94</v>
      </c>
      <c r="K90">
        <v>294</v>
      </c>
      <c r="L90">
        <v>247</v>
      </c>
      <c r="N90" t="s">
        <v>94</v>
      </c>
      <c r="O90">
        <v>23</v>
      </c>
      <c r="Q90">
        <v>126.40015820000001</v>
      </c>
      <c r="R90">
        <v>6.7211793999999996</v>
      </c>
    </row>
    <row r="91" spans="1:21" hidden="1" x14ac:dyDescent="0.35">
      <c r="A91" t="s">
        <v>95</v>
      </c>
      <c r="B91">
        <v>187</v>
      </c>
      <c r="C91">
        <v>162</v>
      </c>
      <c r="D91">
        <v>14</v>
      </c>
      <c r="E91">
        <v>7</v>
      </c>
      <c r="F91">
        <v>15.652475839999999</v>
      </c>
      <c r="J91" t="s">
        <v>95</v>
      </c>
      <c r="K91">
        <v>309</v>
      </c>
      <c r="L91">
        <v>82</v>
      </c>
      <c r="N91" t="s">
        <v>95</v>
      </c>
      <c r="O91">
        <v>25</v>
      </c>
      <c r="Q91">
        <v>145.8903698</v>
      </c>
      <c r="R91">
        <v>9.3475241600000007</v>
      </c>
    </row>
    <row r="92" spans="1:21" hidden="1" x14ac:dyDescent="0.35">
      <c r="A92" t="s">
        <v>96</v>
      </c>
      <c r="B92">
        <v>166</v>
      </c>
      <c r="C92">
        <v>184</v>
      </c>
      <c r="D92">
        <v>14</v>
      </c>
      <c r="E92">
        <v>8</v>
      </c>
      <c r="F92">
        <v>16.124515500000001</v>
      </c>
      <c r="J92" t="s">
        <v>96</v>
      </c>
      <c r="K92">
        <v>289</v>
      </c>
      <c r="L92">
        <v>234</v>
      </c>
      <c r="N92" t="s">
        <v>96</v>
      </c>
      <c r="O92">
        <v>14</v>
      </c>
      <c r="Q92">
        <v>132.77424450000001</v>
      </c>
      <c r="R92">
        <v>2.1245154999999998</v>
      </c>
    </row>
    <row r="93" spans="1:21" hidden="1" x14ac:dyDescent="0.35">
      <c r="A93" t="s">
        <v>97</v>
      </c>
      <c r="B93">
        <v>164</v>
      </c>
      <c r="C93">
        <v>173</v>
      </c>
      <c r="D93">
        <v>12</v>
      </c>
      <c r="E93">
        <v>6</v>
      </c>
      <c r="F93">
        <v>13.41640786</v>
      </c>
      <c r="J93" t="s">
        <v>97</v>
      </c>
      <c r="K93">
        <v>239</v>
      </c>
      <c r="L93">
        <v>187</v>
      </c>
      <c r="N93" t="s">
        <v>97</v>
      </c>
      <c r="O93">
        <v>16</v>
      </c>
      <c r="Q93">
        <v>76.295478239999994</v>
      </c>
      <c r="R93">
        <v>2.5835921399999999</v>
      </c>
    </row>
    <row r="94" spans="1:21" hidden="1" x14ac:dyDescent="0.35">
      <c r="A94" t="s">
        <v>98</v>
      </c>
      <c r="B94">
        <v>190</v>
      </c>
      <c r="C94">
        <v>163</v>
      </c>
      <c r="D94">
        <v>15</v>
      </c>
      <c r="E94">
        <v>9</v>
      </c>
      <c r="F94">
        <v>17.492855680000002</v>
      </c>
      <c r="J94" t="s">
        <v>98</v>
      </c>
      <c r="K94">
        <v>310</v>
      </c>
      <c r="L94">
        <v>244</v>
      </c>
      <c r="N94" t="s">
        <v>98</v>
      </c>
      <c r="O94">
        <v>17</v>
      </c>
      <c r="Q94">
        <v>144.7791421</v>
      </c>
      <c r="R94">
        <v>0.49285568000000002</v>
      </c>
    </row>
    <row r="95" spans="1:21" x14ac:dyDescent="0.35">
      <c r="A95" t="s">
        <v>99</v>
      </c>
      <c r="B95">
        <v>163</v>
      </c>
      <c r="C95">
        <v>157</v>
      </c>
      <c r="D95">
        <v>13</v>
      </c>
      <c r="E95">
        <v>12</v>
      </c>
      <c r="F95">
        <v>17.691806010000001</v>
      </c>
      <c r="J95" t="s">
        <v>99</v>
      </c>
      <c r="K95">
        <v>161</v>
      </c>
      <c r="L95">
        <v>166</v>
      </c>
      <c r="N95" t="s">
        <v>99</v>
      </c>
      <c r="O95">
        <v>16</v>
      </c>
      <c r="Q95">
        <v>9.2195444569999996</v>
      </c>
      <c r="R95">
        <v>1.6918060100000001</v>
      </c>
      <c r="T95">
        <f>AVERAGE(Q95,Q97,Q99,Q101,Q105,Q113,Q117)</f>
        <v>9.2378413644285722</v>
      </c>
      <c r="U95">
        <f>AVERAGE(R95,R97,R99,R101,R105,R113,R117)</f>
        <v>5.332900352857143</v>
      </c>
    </row>
    <row r="96" spans="1:21" hidden="1" x14ac:dyDescent="0.35">
      <c r="A96" t="s">
        <v>100</v>
      </c>
      <c r="B96">
        <v>159</v>
      </c>
      <c r="C96">
        <v>171</v>
      </c>
      <c r="D96">
        <v>16</v>
      </c>
      <c r="E96">
        <v>6</v>
      </c>
      <c r="F96">
        <v>17.088007489999999</v>
      </c>
      <c r="J96" t="s">
        <v>100</v>
      </c>
      <c r="K96">
        <v>288</v>
      </c>
      <c r="L96">
        <v>245</v>
      </c>
      <c r="N96" t="s">
        <v>100</v>
      </c>
      <c r="O96">
        <v>16</v>
      </c>
      <c r="Q96">
        <v>148.71785370000001</v>
      </c>
      <c r="R96">
        <v>1.0880074900000001</v>
      </c>
    </row>
    <row r="97" spans="1:21" x14ac:dyDescent="0.35">
      <c r="A97" t="s">
        <v>101</v>
      </c>
      <c r="B97">
        <v>163</v>
      </c>
      <c r="C97">
        <v>168</v>
      </c>
      <c r="D97">
        <v>13</v>
      </c>
      <c r="E97">
        <v>7</v>
      </c>
      <c r="F97">
        <v>14.764823059999999</v>
      </c>
      <c r="J97" t="s">
        <v>101</v>
      </c>
      <c r="K97">
        <v>170</v>
      </c>
      <c r="L97">
        <v>168</v>
      </c>
      <c r="N97" t="s">
        <v>101</v>
      </c>
      <c r="O97">
        <v>18</v>
      </c>
      <c r="Q97">
        <v>7</v>
      </c>
      <c r="R97">
        <v>3.2351769400000001</v>
      </c>
      <c r="T97">
        <f>AVERAGE(Q95,Q97,Q99,Q101,Q105,Q117)</f>
        <v>8.7705491618333316</v>
      </c>
      <c r="U97">
        <f>AVERAGE(R95,R97,R99,R101,R105,R117)</f>
        <v>4.0991066649999999</v>
      </c>
    </row>
    <row r="98" spans="1:21" hidden="1" x14ac:dyDescent="0.35">
      <c r="A98" t="s">
        <v>102</v>
      </c>
      <c r="B98">
        <v>189</v>
      </c>
      <c r="C98">
        <v>197</v>
      </c>
      <c r="D98">
        <v>13</v>
      </c>
      <c r="E98">
        <v>9</v>
      </c>
      <c r="F98">
        <v>15.811388300000001</v>
      </c>
      <c r="J98" t="s">
        <v>102</v>
      </c>
      <c r="K98">
        <v>121</v>
      </c>
      <c r="L98">
        <v>256</v>
      </c>
      <c r="N98" t="s">
        <v>102</v>
      </c>
      <c r="O98">
        <v>17</v>
      </c>
      <c r="Q98">
        <v>90.027773490000001</v>
      </c>
      <c r="R98">
        <v>1.1886117</v>
      </c>
    </row>
    <row r="99" spans="1:21" x14ac:dyDescent="0.35">
      <c r="A99" t="s">
        <v>103</v>
      </c>
      <c r="B99">
        <v>151</v>
      </c>
      <c r="C99">
        <v>146</v>
      </c>
      <c r="D99">
        <v>15</v>
      </c>
      <c r="E99">
        <v>6</v>
      </c>
      <c r="F99">
        <v>16.15549442</v>
      </c>
      <c r="J99" t="s">
        <v>103</v>
      </c>
      <c r="K99">
        <v>156</v>
      </c>
      <c r="L99">
        <v>149</v>
      </c>
      <c r="N99" t="s">
        <v>103</v>
      </c>
      <c r="O99">
        <v>20</v>
      </c>
      <c r="Q99">
        <v>5.8309518950000001</v>
      </c>
      <c r="R99">
        <v>3.8445055799999999</v>
      </c>
    </row>
    <row r="100" spans="1:21" hidden="1" x14ac:dyDescent="0.35">
      <c r="A100" t="s">
        <v>104</v>
      </c>
      <c r="B100">
        <v>178</v>
      </c>
      <c r="C100">
        <v>183</v>
      </c>
      <c r="D100">
        <v>15</v>
      </c>
      <c r="E100">
        <v>9</v>
      </c>
      <c r="F100">
        <v>17.492855680000002</v>
      </c>
      <c r="J100" t="s">
        <v>104</v>
      </c>
      <c r="K100">
        <v>87</v>
      </c>
      <c r="L100">
        <v>178</v>
      </c>
      <c r="N100" t="s">
        <v>104</v>
      </c>
      <c r="O100">
        <v>25</v>
      </c>
      <c r="Q100">
        <v>91.137259119999996</v>
      </c>
      <c r="R100">
        <v>7.5071443200000001</v>
      </c>
    </row>
    <row r="101" spans="1:21" x14ac:dyDescent="0.35">
      <c r="A101" t="s">
        <v>105</v>
      </c>
      <c r="B101">
        <v>172</v>
      </c>
      <c r="C101">
        <v>166</v>
      </c>
      <c r="D101">
        <v>15</v>
      </c>
      <c r="E101">
        <v>8</v>
      </c>
      <c r="F101">
        <v>17</v>
      </c>
      <c r="J101" t="s">
        <v>105</v>
      </c>
      <c r="K101">
        <v>173</v>
      </c>
      <c r="L101">
        <v>176</v>
      </c>
      <c r="N101" t="s">
        <v>105</v>
      </c>
      <c r="O101">
        <v>19</v>
      </c>
      <c r="Q101">
        <v>10.04987562</v>
      </c>
      <c r="R101">
        <v>2</v>
      </c>
    </row>
    <row r="102" spans="1:21" hidden="1" x14ac:dyDescent="0.35">
      <c r="A102" t="s">
        <v>106</v>
      </c>
      <c r="B102">
        <v>181</v>
      </c>
      <c r="C102">
        <v>190</v>
      </c>
      <c r="D102">
        <v>10</v>
      </c>
      <c r="E102">
        <v>14</v>
      </c>
      <c r="F102">
        <v>17.204650529999999</v>
      </c>
      <c r="J102" t="s">
        <v>106</v>
      </c>
      <c r="K102">
        <v>296</v>
      </c>
      <c r="L102">
        <v>254</v>
      </c>
      <c r="N102" t="s">
        <v>106</v>
      </c>
      <c r="O102">
        <v>13</v>
      </c>
      <c r="Q102">
        <v>131.6092702</v>
      </c>
      <c r="R102">
        <v>4.2046505300000003</v>
      </c>
    </row>
    <row r="103" spans="1:21" hidden="1" x14ac:dyDescent="0.35">
      <c r="A103" t="s">
        <v>107</v>
      </c>
      <c r="B103">
        <v>181</v>
      </c>
      <c r="C103">
        <v>169</v>
      </c>
      <c r="D103">
        <v>17</v>
      </c>
      <c r="E103">
        <v>8</v>
      </c>
      <c r="F103">
        <v>18.788294230000002</v>
      </c>
      <c r="J103" t="s">
        <v>107</v>
      </c>
      <c r="K103">
        <v>314</v>
      </c>
      <c r="L103">
        <v>92</v>
      </c>
      <c r="N103" t="s">
        <v>107</v>
      </c>
      <c r="O103">
        <v>24</v>
      </c>
      <c r="Q103">
        <v>153.68148880000001</v>
      </c>
      <c r="R103">
        <v>5.21170577</v>
      </c>
    </row>
    <row r="104" spans="1:21" hidden="1" x14ac:dyDescent="0.35">
      <c r="A104" t="s">
        <v>108</v>
      </c>
      <c r="B104">
        <v>198</v>
      </c>
      <c r="C104">
        <v>191</v>
      </c>
      <c r="D104">
        <v>12</v>
      </c>
      <c r="E104">
        <v>10</v>
      </c>
      <c r="F104">
        <v>15.620499349999999</v>
      </c>
      <c r="J104" t="s">
        <v>108</v>
      </c>
      <c r="K104">
        <v>286</v>
      </c>
      <c r="L104">
        <v>205</v>
      </c>
      <c r="N104" t="s">
        <v>108</v>
      </c>
      <c r="O104">
        <v>16</v>
      </c>
      <c r="Q104">
        <v>89.106677640000001</v>
      </c>
      <c r="R104">
        <v>0.37950064999999999</v>
      </c>
    </row>
    <row r="105" spans="1:21" x14ac:dyDescent="0.35">
      <c r="A105" t="s">
        <v>109</v>
      </c>
      <c r="B105">
        <v>182</v>
      </c>
      <c r="C105">
        <v>198</v>
      </c>
      <c r="D105">
        <v>11</v>
      </c>
      <c r="E105">
        <v>11</v>
      </c>
      <c r="F105">
        <v>15.556349190000001</v>
      </c>
      <c r="J105" t="s">
        <v>109</v>
      </c>
      <c r="K105">
        <v>186</v>
      </c>
      <c r="L105">
        <v>202</v>
      </c>
      <c r="N105" t="s">
        <v>109</v>
      </c>
      <c r="O105">
        <v>28</v>
      </c>
      <c r="Q105">
        <v>5.6568542490000002</v>
      </c>
      <c r="R105">
        <v>12.443650809999999</v>
      </c>
    </row>
    <row r="106" spans="1:21" hidden="1" x14ac:dyDescent="0.35">
      <c r="A106" t="s">
        <v>110</v>
      </c>
      <c r="B106">
        <v>172</v>
      </c>
      <c r="C106">
        <v>181</v>
      </c>
      <c r="D106">
        <v>15</v>
      </c>
      <c r="E106">
        <v>11</v>
      </c>
      <c r="F106">
        <v>18.60107524</v>
      </c>
      <c r="J106" t="s">
        <v>110</v>
      </c>
      <c r="K106">
        <v>161</v>
      </c>
      <c r="L106">
        <v>64</v>
      </c>
      <c r="N106" t="s">
        <v>110</v>
      </c>
      <c r="O106">
        <v>19</v>
      </c>
      <c r="Q106">
        <v>117.51595639999999</v>
      </c>
      <c r="R106">
        <v>0.39892475999999999</v>
      </c>
    </row>
    <row r="107" spans="1:21" hidden="1" x14ac:dyDescent="0.35">
      <c r="A107" t="s">
        <v>111</v>
      </c>
      <c r="B107">
        <v>175</v>
      </c>
      <c r="C107">
        <v>155</v>
      </c>
      <c r="D107">
        <v>16</v>
      </c>
      <c r="E107">
        <v>9</v>
      </c>
      <c r="F107">
        <v>18.35755975</v>
      </c>
      <c r="J107" t="s">
        <v>111</v>
      </c>
      <c r="K107">
        <v>247</v>
      </c>
      <c r="L107">
        <v>166</v>
      </c>
      <c r="N107" t="s">
        <v>111</v>
      </c>
      <c r="O107">
        <v>13</v>
      </c>
      <c r="Q107">
        <v>72.835430939999995</v>
      </c>
      <c r="R107">
        <v>5.3575597500000001</v>
      </c>
    </row>
    <row r="108" spans="1:21" hidden="1" x14ac:dyDescent="0.35">
      <c r="A108" t="s">
        <v>112</v>
      </c>
      <c r="B108">
        <v>178</v>
      </c>
      <c r="C108">
        <v>192</v>
      </c>
      <c r="D108">
        <v>15</v>
      </c>
      <c r="E108">
        <v>9</v>
      </c>
      <c r="F108">
        <v>17.492855680000002</v>
      </c>
      <c r="J108" t="s">
        <v>112</v>
      </c>
      <c r="K108">
        <v>95</v>
      </c>
      <c r="L108">
        <v>244</v>
      </c>
      <c r="N108" t="s">
        <v>112</v>
      </c>
      <c r="O108">
        <v>13</v>
      </c>
      <c r="Q108">
        <v>97.943861470000002</v>
      </c>
      <c r="R108">
        <v>4.4928556799999999</v>
      </c>
    </row>
    <row r="109" spans="1:21" hidden="1" x14ac:dyDescent="0.35">
      <c r="A109" t="s">
        <v>113</v>
      </c>
      <c r="B109">
        <v>195</v>
      </c>
      <c r="C109">
        <v>172</v>
      </c>
      <c r="D109">
        <v>13</v>
      </c>
      <c r="E109">
        <v>10</v>
      </c>
      <c r="F109">
        <v>16.401219470000001</v>
      </c>
      <c r="J109" t="s">
        <v>113</v>
      </c>
      <c r="K109">
        <v>271</v>
      </c>
      <c r="L109">
        <v>185</v>
      </c>
      <c r="N109" t="s">
        <v>113</v>
      </c>
      <c r="O109">
        <v>16</v>
      </c>
      <c r="Q109">
        <v>77.103826100000006</v>
      </c>
      <c r="R109">
        <v>0.40121947000000002</v>
      </c>
    </row>
    <row r="110" spans="1:21" hidden="1" x14ac:dyDescent="0.35">
      <c r="A110" t="s">
        <v>114</v>
      </c>
      <c r="B110">
        <v>174</v>
      </c>
      <c r="C110">
        <v>144</v>
      </c>
      <c r="D110">
        <v>13</v>
      </c>
      <c r="E110">
        <v>12</v>
      </c>
      <c r="F110">
        <v>17.691806010000001</v>
      </c>
      <c r="J110" t="s">
        <v>114</v>
      </c>
      <c r="K110">
        <v>142</v>
      </c>
      <c r="L110">
        <v>134</v>
      </c>
      <c r="N110" t="s">
        <v>114</v>
      </c>
      <c r="O110">
        <v>16</v>
      </c>
      <c r="Q110">
        <v>33.526109230000003</v>
      </c>
      <c r="R110">
        <v>1.6918060100000001</v>
      </c>
    </row>
    <row r="111" spans="1:21" hidden="1" x14ac:dyDescent="0.35">
      <c r="A111" t="s">
        <v>115</v>
      </c>
      <c r="B111">
        <v>167</v>
      </c>
      <c r="C111">
        <v>148</v>
      </c>
      <c r="D111">
        <v>15</v>
      </c>
      <c r="E111">
        <v>6</v>
      </c>
      <c r="F111">
        <v>16.15549442</v>
      </c>
      <c r="J111" t="s">
        <v>115</v>
      </c>
      <c r="K111">
        <v>305</v>
      </c>
      <c r="L111">
        <v>86</v>
      </c>
      <c r="N111" t="s">
        <v>115</v>
      </c>
      <c r="O111">
        <v>16</v>
      </c>
      <c r="Q111">
        <v>151.28780520000001</v>
      </c>
      <c r="R111">
        <v>0.15549441999999999</v>
      </c>
    </row>
    <row r="112" spans="1:21" hidden="1" x14ac:dyDescent="0.35">
      <c r="A112" t="s">
        <v>116</v>
      </c>
      <c r="B112">
        <v>168</v>
      </c>
      <c r="C112">
        <v>159</v>
      </c>
      <c r="D112">
        <v>12</v>
      </c>
      <c r="E112">
        <v>12</v>
      </c>
      <c r="F112">
        <v>16.970562749999999</v>
      </c>
      <c r="J112" t="s">
        <v>116</v>
      </c>
      <c r="K112">
        <v>222</v>
      </c>
      <c r="L112">
        <v>171</v>
      </c>
      <c r="N112" t="s">
        <v>116</v>
      </c>
      <c r="O112">
        <v>16</v>
      </c>
      <c r="Q112">
        <v>55.317266740000001</v>
      </c>
      <c r="R112">
        <v>0.97056275000000003</v>
      </c>
    </row>
    <row r="113" spans="1:21" x14ac:dyDescent="0.35">
      <c r="A113" t="s">
        <v>117</v>
      </c>
      <c r="B113">
        <v>206</v>
      </c>
      <c r="C113">
        <v>219</v>
      </c>
      <c r="D113">
        <v>13</v>
      </c>
      <c r="E113">
        <v>8</v>
      </c>
      <c r="F113">
        <v>15.26433752</v>
      </c>
      <c r="J113" t="s">
        <v>117</v>
      </c>
      <c r="K113">
        <v>207</v>
      </c>
      <c r="L113">
        <v>207</v>
      </c>
      <c r="N113" t="s">
        <v>117</v>
      </c>
      <c r="O113">
        <v>28</v>
      </c>
      <c r="Q113">
        <v>12.04159458</v>
      </c>
      <c r="R113">
        <v>12.73566248</v>
      </c>
    </row>
    <row r="114" spans="1:21" hidden="1" x14ac:dyDescent="0.35">
      <c r="A114" t="s">
        <v>118</v>
      </c>
      <c r="B114">
        <v>159</v>
      </c>
      <c r="C114">
        <v>166</v>
      </c>
      <c r="D114">
        <v>12</v>
      </c>
      <c r="E114">
        <v>10</v>
      </c>
      <c r="F114">
        <v>15.620499349999999</v>
      </c>
      <c r="J114" t="s">
        <v>118</v>
      </c>
      <c r="K114">
        <v>276</v>
      </c>
      <c r="L114">
        <v>100</v>
      </c>
      <c r="N114" t="s">
        <v>118</v>
      </c>
      <c r="O114">
        <v>27</v>
      </c>
      <c r="Q114">
        <v>134.3316791</v>
      </c>
      <c r="R114">
        <v>11.379500650000001</v>
      </c>
    </row>
    <row r="115" spans="1:21" hidden="1" x14ac:dyDescent="0.35">
      <c r="A115" t="s">
        <v>119</v>
      </c>
      <c r="B115">
        <v>122</v>
      </c>
      <c r="C115">
        <v>169</v>
      </c>
      <c r="D115">
        <v>14</v>
      </c>
      <c r="E115">
        <v>9</v>
      </c>
      <c r="F115">
        <v>16.643316980000002</v>
      </c>
      <c r="J115" t="s">
        <v>119</v>
      </c>
      <c r="K115">
        <v>279</v>
      </c>
      <c r="L115">
        <v>91</v>
      </c>
      <c r="N115" t="s">
        <v>119</v>
      </c>
      <c r="O115">
        <v>21</v>
      </c>
      <c r="Q115">
        <v>175.30829990000001</v>
      </c>
      <c r="R115">
        <v>4.3566830200000002</v>
      </c>
    </row>
    <row r="116" spans="1:21" hidden="1" x14ac:dyDescent="0.35">
      <c r="A116" t="s">
        <v>120</v>
      </c>
      <c r="B116">
        <v>152</v>
      </c>
      <c r="C116">
        <v>182</v>
      </c>
      <c r="D116">
        <v>13</v>
      </c>
      <c r="E116">
        <v>9</v>
      </c>
      <c r="F116">
        <v>15.811388300000001</v>
      </c>
      <c r="J116" t="s">
        <v>120</v>
      </c>
      <c r="K116">
        <v>104</v>
      </c>
      <c r="L116">
        <v>256</v>
      </c>
      <c r="N116" t="s">
        <v>120</v>
      </c>
      <c r="O116">
        <v>22</v>
      </c>
      <c r="Q116">
        <v>88.204308280000006</v>
      </c>
      <c r="R116">
        <v>6.1886117</v>
      </c>
    </row>
    <row r="117" spans="1:21" x14ac:dyDescent="0.35">
      <c r="A117" t="s">
        <v>121</v>
      </c>
      <c r="B117">
        <v>147</v>
      </c>
      <c r="C117">
        <v>151</v>
      </c>
      <c r="D117">
        <v>10</v>
      </c>
      <c r="E117">
        <v>12</v>
      </c>
      <c r="F117">
        <v>15.620499349999999</v>
      </c>
      <c r="J117" t="s">
        <v>121</v>
      </c>
      <c r="K117">
        <v>158</v>
      </c>
      <c r="L117">
        <v>161</v>
      </c>
      <c r="N117" t="s">
        <v>121</v>
      </c>
      <c r="O117">
        <v>17</v>
      </c>
      <c r="Q117">
        <v>14.86606875</v>
      </c>
      <c r="R117">
        <v>1.37950065</v>
      </c>
    </row>
    <row r="118" spans="1:21" hidden="1" x14ac:dyDescent="0.35">
      <c r="A118" t="s">
        <v>122</v>
      </c>
      <c r="B118">
        <v>231</v>
      </c>
      <c r="C118">
        <v>204</v>
      </c>
      <c r="D118">
        <v>16</v>
      </c>
      <c r="E118">
        <v>7</v>
      </c>
      <c r="F118">
        <v>17.464249200000001</v>
      </c>
      <c r="J118" t="s">
        <v>122</v>
      </c>
      <c r="K118">
        <v>114</v>
      </c>
      <c r="L118">
        <v>202</v>
      </c>
      <c r="N118" t="s">
        <v>122</v>
      </c>
      <c r="O118">
        <v>22</v>
      </c>
      <c r="Q118">
        <v>117.0170928</v>
      </c>
      <c r="R118">
        <v>4.5357507999999997</v>
      </c>
    </row>
    <row r="119" spans="1:21" x14ac:dyDescent="0.35">
      <c r="A119" t="s">
        <v>123</v>
      </c>
      <c r="B119">
        <v>173</v>
      </c>
      <c r="C119">
        <v>159</v>
      </c>
      <c r="D119">
        <v>13</v>
      </c>
      <c r="E119">
        <v>5</v>
      </c>
      <c r="F119">
        <v>13.92838828</v>
      </c>
      <c r="J119" t="s">
        <v>123</v>
      </c>
      <c r="K119">
        <v>180</v>
      </c>
      <c r="L119">
        <v>162</v>
      </c>
      <c r="N119" t="s">
        <v>123</v>
      </c>
      <c r="O119">
        <v>21</v>
      </c>
      <c r="Q119">
        <v>7.6157731059999998</v>
      </c>
      <c r="R119">
        <v>7.0716117199999999</v>
      </c>
      <c r="T119">
        <f>AVERAGE(Q119,Q123,Q125,Q127,Q129,Q130,Q132,Q134,Q137,Q140,Q141,Q143,Q144)</f>
        <v>11.506340104615383</v>
      </c>
      <c r="U119">
        <f>AVERAGE(R119,R123,R125,R127,R129,R130,R132,R134,R137,R140,R141,R143,R144)</f>
        <v>8.201724303846154</v>
      </c>
    </row>
    <row r="120" spans="1:21" hidden="1" x14ac:dyDescent="0.35">
      <c r="A120" t="s">
        <v>124</v>
      </c>
      <c r="B120">
        <v>193</v>
      </c>
      <c r="C120">
        <v>209</v>
      </c>
      <c r="D120">
        <v>14</v>
      </c>
      <c r="E120">
        <v>10</v>
      </c>
      <c r="F120">
        <v>17.204650529999999</v>
      </c>
      <c r="J120" t="s">
        <v>124</v>
      </c>
      <c r="K120">
        <v>291</v>
      </c>
      <c r="L120">
        <v>227</v>
      </c>
      <c r="N120" t="s">
        <v>124</v>
      </c>
      <c r="O120">
        <v>18</v>
      </c>
      <c r="Q120">
        <v>99.639349659999993</v>
      </c>
      <c r="R120">
        <v>0.79534947</v>
      </c>
    </row>
    <row r="121" spans="1:21" hidden="1" x14ac:dyDescent="0.35">
      <c r="A121" t="s">
        <v>125</v>
      </c>
      <c r="B121">
        <v>161</v>
      </c>
      <c r="C121">
        <v>153</v>
      </c>
      <c r="D121">
        <v>15</v>
      </c>
      <c r="E121">
        <v>5</v>
      </c>
      <c r="F121">
        <v>15.811388300000001</v>
      </c>
      <c r="J121" t="s">
        <v>125</v>
      </c>
      <c r="K121">
        <v>242</v>
      </c>
      <c r="L121">
        <v>166</v>
      </c>
      <c r="N121" t="s">
        <v>125</v>
      </c>
      <c r="O121">
        <v>21</v>
      </c>
      <c r="Q121">
        <v>82.036577210000004</v>
      </c>
      <c r="R121">
        <v>5.1886117</v>
      </c>
    </row>
    <row r="122" spans="1:21" hidden="1" x14ac:dyDescent="0.35">
      <c r="A122" t="s">
        <v>126</v>
      </c>
      <c r="B122">
        <v>208</v>
      </c>
      <c r="C122">
        <v>200</v>
      </c>
      <c r="D122">
        <v>19</v>
      </c>
      <c r="E122">
        <v>10</v>
      </c>
      <c r="F122">
        <v>21.470910549999999</v>
      </c>
      <c r="J122" t="s">
        <v>126</v>
      </c>
      <c r="K122">
        <v>320</v>
      </c>
      <c r="L122">
        <v>292</v>
      </c>
      <c r="N122" t="s">
        <v>126</v>
      </c>
      <c r="O122">
        <v>13</v>
      </c>
      <c r="Q122">
        <v>144.94136750000001</v>
      </c>
      <c r="R122">
        <v>8.4709105499999993</v>
      </c>
    </row>
    <row r="123" spans="1:21" x14ac:dyDescent="0.35">
      <c r="A123" t="s">
        <v>127</v>
      </c>
      <c r="B123">
        <v>158</v>
      </c>
      <c r="C123">
        <v>155</v>
      </c>
      <c r="D123">
        <v>13</v>
      </c>
      <c r="E123">
        <v>10</v>
      </c>
      <c r="F123">
        <v>16.401219470000001</v>
      </c>
      <c r="J123" t="s">
        <v>127</v>
      </c>
      <c r="K123">
        <v>161</v>
      </c>
      <c r="L123">
        <v>161</v>
      </c>
      <c r="N123" t="s">
        <v>127</v>
      </c>
      <c r="O123">
        <v>23</v>
      </c>
      <c r="Q123">
        <v>6.708203932</v>
      </c>
      <c r="R123">
        <v>6.59878053</v>
      </c>
      <c r="T123">
        <f>AVERAGE(Q119,Q123,Q125,Q127,Q129,Q130,Q132,Q134,Q141,Q144)</f>
        <v>9.5473391989999978</v>
      </c>
      <c r="U123">
        <f>AVERAGE(R119,R123,R125,R127,R129,R130,R132,R134,R141,R144)</f>
        <v>8.6316112500000006</v>
      </c>
    </row>
    <row r="124" spans="1:21" hidden="1" x14ac:dyDescent="0.35">
      <c r="A124" t="s">
        <v>128</v>
      </c>
      <c r="B124">
        <v>201</v>
      </c>
      <c r="C124">
        <v>194</v>
      </c>
      <c r="D124">
        <v>13</v>
      </c>
      <c r="E124">
        <v>12</v>
      </c>
      <c r="F124">
        <v>17.691806010000001</v>
      </c>
      <c r="J124" t="s">
        <v>128</v>
      </c>
      <c r="K124">
        <v>268</v>
      </c>
      <c r="L124">
        <v>82</v>
      </c>
      <c r="N124" t="s">
        <v>128</v>
      </c>
      <c r="O124">
        <v>21</v>
      </c>
      <c r="Q124">
        <v>130.510536</v>
      </c>
      <c r="R124">
        <v>3.3081939899999999</v>
      </c>
    </row>
    <row r="125" spans="1:21" x14ac:dyDescent="0.35">
      <c r="A125" t="s">
        <v>129</v>
      </c>
      <c r="B125">
        <v>167</v>
      </c>
      <c r="C125">
        <v>181</v>
      </c>
      <c r="D125">
        <v>15</v>
      </c>
      <c r="E125">
        <v>6</v>
      </c>
      <c r="F125">
        <v>16.15549442</v>
      </c>
      <c r="J125" t="s">
        <v>129</v>
      </c>
      <c r="K125">
        <v>177</v>
      </c>
      <c r="L125">
        <v>187</v>
      </c>
      <c r="N125" t="s">
        <v>129</v>
      </c>
      <c r="O125">
        <v>24</v>
      </c>
      <c r="Q125">
        <v>11.66190379</v>
      </c>
      <c r="R125">
        <v>7.8445055799999999</v>
      </c>
      <c r="T125">
        <f>AVERAGE(Q137,Q140,Q143)</f>
        <v>18.036343123333335</v>
      </c>
      <c r="U125">
        <f>AVERAGE(R137,R140,R143)</f>
        <v>6.7687678166666672</v>
      </c>
    </row>
    <row r="126" spans="1:21" hidden="1" x14ac:dyDescent="0.35">
      <c r="A126" t="s">
        <v>130</v>
      </c>
      <c r="B126">
        <v>191</v>
      </c>
      <c r="C126">
        <v>202</v>
      </c>
      <c r="D126">
        <v>15</v>
      </c>
      <c r="E126">
        <v>12</v>
      </c>
      <c r="F126">
        <v>19.20937271</v>
      </c>
      <c r="J126" t="s">
        <v>130</v>
      </c>
      <c r="K126">
        <v>106</v>
      </c>
      <c r="L126">
        <v>254</v>
      </c>
      <c r="N126" t="s">
        <v>130</v>
      </c>
      <c r="O126">
        <v>26</v>
      </c>
      <c r="Q126">
        <v>99.644367630000005</v>
      </c>
      <c r="R126">
        <v>6.7906272899999998</v>
      </c>
    </row>
    <row r="127" spans="1:21" x14ac:dyDescent="0.35">
      <c r="A127" t="s">
        <v>131</v>
      </c>
      <c r="B127">
        <v>160</v>
      </c>
      <c r="C127">
        <v>168</v>
      </c>
      <c r="D127">
        <v>15</v>
      </c>
      <c r="E127">
        <v>8</v>
      </c>
      <c r="F127">
        <v>17</v>
      </c>
      <c r="J127" t="s">
        <v>131</v>
      </c>
      <c r="K127">
        <v>163</v>
      </c>
      <c r="L127">
        <v>171</v>
      </c>
      <c r="N127" t="s">
        <v>131</v>
      </c>
      <c r="O127">
        <v>29</v>
      </c>
      <c r="Q127">
        <v>4.2426406869999997</v>
      </c>
      <c r="R127">
        <v>12</v>
      </c>
    </row>
    <row r="128" spans="1:21" hidden="1" x14ac:dyDescent="0.35">
      <c r="A128" t="s">
        <v>132</v>
      </c>
      <c r="B128">
        <v>205</v>
      </c>
      <c r="C128">
        <v>217</v>
      </c>
      <c r="D128">
        <v>15</v>
      </c>
      <c r="E128">
        <v>8</v>
      </c>
      <c r="F128">
        <v>17</v>
      </c>
      <c r="J128" t="s">
        <v>132</v>
      </c>
      <c r="K128">
        <v>115</v>
      </c>
      <c r="L128">
        <v>271</v>
      </c>
      <c r="N128" t="s">
        <v>132</v>
      </c>
      <c r="O128">
        <v>21</v>
      </c>
      <c r="Q128">
        <v>104.9571341</v>
      </c>
      <c r="R128">
        <v>4</v>
      </c>
    </row>
    <row r="129" spans="1:18" x14ac:dyDescent="0.35">
      <c r="A129" t="s">
        <v>133</v>
      </c>
      <c r="B129">
        <v>163</v>
      </c>
      <c r="C129">
        <v>161</v>
      </c>
      <c r="D129">
        <v>15</v>
      </c>
      <c r="E129">
        <v>9</v>
      </c>
      <c r="F129">
        <v>17.492855680000002</v>
      </c>
      <c r="J129" t="s">
        <v>133</v>
      </c>
      <c r="K129">
        <v>162</v>
      </c>
      <c r="L129">
        <v>166</v>
      </c>
      <c r="N129" t="s">
        <v>133</v>
      </c>
      <c r="O129">
        <v>28</v>
      </c>
      <c r="Q129">
        <v>5.0990195140000001</v>
      </c>
      <c r="R129">
        <v>10.50714432</v>
      </c>
    </row>
    <row r="130" spans="1:18" x14ac:dyDescent="0.35">
      <c r="A130" t="s">
        <v>134</v>
      </c>
      <c r="B130">
        <v>184</v>
      </c>
      <c r="C130">
        <v>148</v>
      </c>
      <c r="D130">
        <v>18</v>
      </c>
      <c r="E130">
        <v>8</v>
      </c>
      <c r="F130">
        <v>19.697715599999999</v>
      </c>
      <c r="J130" t="s">
        <v>134</v>
      </c>
      <c r="K130">
        <v>180</v>
      </c>
      <c r="L130">
        <v>152</v>
      </c>
      <c r="N130" t="s">
        <v>134</v>
      </c>
      <c r="O130">
        <v>26</v>
      </c>
      <c r="Q130">
        <v>5.6568542490000002</v>
      </c>
      <c r="R130">
        <v>6.3022843999999996</v>
      </c>
    </row>
    <row r="131" spans="1:18" hidden="1" x14ac:dyDescent="0.35">
      <c r="A131" t="s">
        <v>135</v>
      </c>
      <c r="B131">
        <v>247</v>
      </c>
      <c r="C131">
        <v>205</v>
      </c>
      <c r="D131">
        <v>15</v>
      </c>
      <c r="E131">
        <v>17</v>
      </c>
      <c r="F131">
        <v>22.671568099999998</v>
      </c>
      <c r="J131" t="s">
        <v>135</v>
      </c>
      <c r="K131">
        <v>354</v>
      </c>
      <c r="L131">
        <v>288</v>
      </c>
      <c r="N131" t="s">
        <v>135</v>
      </c>
      <c r="O131">
        <v>22</v>
      </c>
      <c r="Q131">
        <v>135.4178718</v>
      </c>
      <c r="R131">
        <v>0.6715681</v>
      </c>
    </row>
    <row r="132" spans="1:18" x14ac:dyDescent="0.35">
      <c r="A132" t="s">
        <v>136</v>
      </c>
      <c r="B132">
        <v>191</v>
      </c>
      <c r="C132">
        <v>159</v>
      </c>
      <c r="D132">
        <v>15</v>
      </c>
      <c r="E132">
        <v>10</v>
      </c>
      <c r="F132">
        <v>18.02775638</v>
      </c>
      <c r="J132" t="s">
        <v>136</v>
      </c>
      <c r="K132">
        <v>191</v>
      </c>
      <c r="L132">
        <v>167</v>
      </c>
      <c r="N132" t="s">
        <v>136</v>
      </c>
      <c r="O132">
        <v>26</v>
      </c>
      <c r="Q132">
        <v>8</v>
      </c>
      <c r="R132">
        <v>7.9722436200000004</v>
      </c>
    </row>
    <row r="133" spans="1:18" hidden="1" x14ac:dyDescent="0.35">
      <c r="A133" t="s">
        <v>137</v>
      </c>
      <c r="B133">
        <v>196</v>
      </c>
      <c r="C133">
        <v>224</v>
      </c>
      <c r="D133">
        <v>14</v>
      </c>
      <c r="E133">
        <v>8</v>
      </c>
      <c r="F133">
        <v>16.124515500000001</v>
      </c>
      <c r="J133" t="s">
        <v>137</v>
      </c>
      <c r="K133">
        <v>305</v>
      </c>
      <c r="L133">
        <v>293</v>
      </c>
      <c r="N133" t="s">
        <v>137</v>
      </c>
      <c r="O133">
        <v>18</v>
      </c>
      <c r="Q133">
        <v>129.0038759</v>
      </c>
      <c r="R133">
        <v>1.8754845</v>
      </c>
    </row>
    <row r="134" spans="1:18" x14ac:dyDescent="0.35">
      <c r="A134" t="s">
        <v>138</v>
      </c>
      <c r="B134">
        <v>180</v>
      </c>
      <c r="C134">
        <v>140</v>
      </c>
      <c r="D134">
        <v>13</v>
      </c>
      <c r="E134">
        <v>14</v>
      </c>
      <c r="F134">
        <v>19.104973170000001</v>
      </c>
      <c r="J134" t="s">
        <v>138</v>
      </c>
      <c r="K134">
        <v>185</v>
      </c>
      <c r="L134">
        <v>148</v>
      </c>
      <c r="N134" t="s">
        <v>138</v>
      </c>
      <c r="O134">
        <v>30</v>
      </c>
      <c r="Q134">
        <v>9.4339811319999995</v>
      </c>
      <c r="R134">
        <v>10.895026830000001</v>
      </c>
    </row>
    <row r="135" spans="1:18" hidden="1" x14ac:dyDescent="0.35">
      <c r="A135" t="s">
        <v>139</v>
      </c>
      <c r="B135">
        <v>235</v>
      </c>
      <c r="C135">
        <v>215</v>
      </c>
      <c r="D135">
        <v>15</v>
      </c>
      <c r="E135">
        <v>9</v>
      </c>
      <c r="F135">
        <v>17.492855680000002</v>
      </c>
      <c r="J135" t="s">
        <v>139</v>
      </c>
      <c r="K135">
        <v>291</v>
      </c>
      <c r="L135">
        <v>88</v>
      </c>
      <c r="N135" t="s">
        <v>139</v>
      </c>
      <c r="O135">
        <v>24</v>
      </c>
      <c r="Q135">
        <v>138.79841500000001</v>
      </c>
      <c r="R135">
        <v>6.5071443200000001</v>
      </c>
    </row>
    <row r="136" spans="1:18" hidden="1" x14ac:dyDescent="0.35">
      <c r="A136" t="s">
        <v>140</v>
      </c>
      <c r="B136">
        <v>192</v>
      </c>
      <c r="C136">
        <v>170</v>
      </c>
      <c r="D136">
        <v>11</v>
      </c>
      <c r="E136">
        <v>11</v>
      </c>
      <c r="F136">
        <v>15.556349190000001</v>
      </c>
      <c r="J136" t="s">
        <v>140</v>
      </c>
      <c r="K136">
        <v>267</v>
      </c>
      <c r="L136">
        <v>180</v>
      </c>
      <c r="N136" t="s">
        <v>140</v>
      </c>
      <c r="O136">
        <v>19</v>
      </c>
      <c r="Q136">
        <v>75.663729750000002</v>
      </c>
      <c r="R136">
        <v>3.4436508099999998</v>
      </c>
    </row>
    <row r="137" spans="1:18" x14ac:dyDescent="0.35">
      <c r="A137" t="s">
        <v>141</v>
      </c>
      <c r="B137">
        <v>222</v>
      </c>
      <c r="C137">
        <v>186</v>
      </c>
      <c r="D137">
        <v>16</v>
      </c>
      <c r="E137">
        <v>12</v>
      </c>
      <c r="F137">
        <v>20</v>
      </c>
      <c r="J137" t="s">
        <v>141</v>
      </c>
      <c r="K137">
        <v>229</v>
      </c>
      <c r="L137">
        <v>172</v>
      </c>
      <c r="N137" t="s">
        <v>141</v>
      </c>
      <c r="O137">
        <v>30</v>
      </c>
      <c r="Q137">
        <v>15.652475839999999</v>
      </c>
      <c r="R137">
        <v>10</v>
      </c>
    </row>
    <row r="138" spans="1:18" hidden="1" x14ac:dyDescent="0.35">
      <c r="A138" t="s">
        <v>142</v>
      </c>
      <c r="B138">
        <v>175</v>
      </c>
      <c r="C138">
        <v>151</v>
      </c>
      <c r="D138">
        <v>10</v>
      </c>
      <c r="E138">
        <v>9</v>
      </c>
      <c r="F138">
        <v>13.45362405</v>
      </c>
      <c r="J138" t="s">
        <v>142</v>
      </c>
      <c r="K138">
        <v>308</v>
      </c>
      <c r="L138">
        <v>89</v>
      </c>
      <c r="N138" t="s">
        <v>142</v>
      </c>
      <c r="O138">
        <v>13</v>
      </c>
      <c r="Q138">
        <v>146.74126889999999</v>
      </c>
      <c r="R138">
        <v>0.45362405</v>
      </c>
    </row>
    <row r="139" spans="1:18" hidden="1" x14ac:dyDescent="0.35">
      <c r="A139" t="s">
        <v>143</v>
      </c>
      <c r="B139">
        <v>171</v>
      </c>
      <c r="C139">
        <v>180</v>
      </c>
      <c r="D139">
        <v>10</v>
      </c>
      <c r="E139">
        <v>11</v>
      </c>
      <c r="F139">
        <v>14.86606875</v>
      </c>
      <c r="J139" t="s">
        <v>143</v>
      </c>
      <c r="K139">
        <v>226</v>
      </c>
      <c r="L139">
        <v>189</v>
      </c>
      <c r="N139" t="s">
        <v>143</v>
      </c>
      <c r="O139">
        <v>16</v>
      </c>
      <c r="Q139">
        <v>55.731499169999999</v>
      </c>
      <c r="R139">
        <v>1.1339312500000001</v>
      </c>
    </row>
    <row r="140" spans="1:18" x14ac:dyDescent="0.35">
      <c r="A140" t="s">
        <v>144</v>
      </c>
      <c r="B140">
        <v>237</v>
      </c>
      <c r="C140">
        <v>191</v>
      </c>
      <c r="D140">
        <v>17</v>
      </c>
      <c r="E140">
        <v>10</v>
      </c>
      <c r="F140">
        <v>19.72308292</v>
      </c>
      <c r="J140" t="s">
        <v>144</v>
      </c>
      <c r="K140">
        <v>235</v>
      </c>
      <c r="L140">
        <v>176</v>
      </c>
      <c r="N140" t="s">
        <v>144</v>
      </c>
      <c r="O140">
        <v>26</v>
      </c>
      <c r="Q140">
        <v>15.13274595</v>
      </c>
      <c r="R140">
        <v>6.2769170799999996</v>
      </c>
    </row>
    <row r="141" spans="1:18" x14ac:dyDescent="0.35">
      <c r="A141" t="s">
        <v>145</v>
      </c>
      <c r="B141">
        <v>172</v>
      </c>
      <c r="C141">
        <v>140</v>
      </c>
      <c r="D141">
        <v>12</v>
      </c>
      <c r="E141">
        <v>5</v>
      </c>
      <c r="F141">
        <v>13</v>
      </c>
      <c r="J141" t="s">
        <v>145</v>
      </c>
      <c r="K141">
        <v>188</v>
      </c>
      <c r="L141">
        <v>139</v>
      </c>
      <c r="N141" t="s">
        <v>145</v>
      </c>
      <c r="O141">
        <v>30</v>
      </c>
      <c r="Q141">
        <v>16.031219539999999</v>
      </c>
      <c r="R141">
        <v>17</v>
      </c>
    </row>
    <row r="142" spans="1:18" hidden="1" x14ac:dyDescent="0.35">
      <c r="A142" t="s">
        <v>146</v>
      </c>
      <c r="B142">
        <v>138</v>
      </c>
      <c r="C142">
        <v>165</v>
      </c>
      <c r="D142">
        <v>18</v>
      </c>
      <c r="E142">
        <v>6</v>
      </c>
      <c r="F142">
        <v>18.973665960000002</v>
      </c>
      <c r="J142" t="s">
        <v>146</v>
      </c>
      <c r="K142">
        <v>286</v>
      </c>
      <c r="L142">
        <v>80</v>
      </c>
      <c r="N142" t="s">
        <v>146</v>
      </c>
      <c r="O142">
        <v>18</v>
      </c>
      <c r="Q142">
        <v>170.67220040000001</v>
      </c>
      <c r="R142">
        <v>0.97366596000000005</v>
      </c>
    </row>
    <row r="143" spans="1:18" x14ac:dyDescent="0.35">
      <c r="A143" t="s">
        <v>147</v>
      </c>
      <c r="B143">
        <v>191</v>
      </c>
      <c r="C143">
        <v>188</v>
      </c>
      <c r="D143">
        <v>11</v>
      </c>
      <c r="E143">
        <v>13</v>
      </c>
      <c r="F143">
        <v>17.029386370000001</v>
      </c>
      <c r="J143" t="s">
        <v>147</v>
      </c>
      <c r="K143">
        <v>203</v>
      </c>
      <c r="L143">
        <v>168</v>
      </c>
      <c r="N143" t="s">
        <v>147</v>
      </c>
      <c r="O143">
        <v>13</v>
      </c>
      <c r="Q143">
        <v>23.32380758</v>
      </c>
      <c r="R143">
        <v>4.0293863700000001</v>
      </c>
    </row>
    <row r="144" spans="1:18" x14ac:dyDescent="0.35">
      <c r="A144" t="s">
        <v>148</v>
      </c>
      <c r="B144">
        <v>148</v>
      </c>
      <c r="C144">
        <v>145</v>
      </c>
      <c r="D144">
        <v>14</v>
      </c>
      <c r="E144">
        <v>8</v>
      </c>
      <c r="F144">
        <v>16.124515500000001</v>
      </c>
      <c r="J144" t="s">
        <v>148</v>
      </c>
      <c r="K144">
        <v>167</v>
      </c>
      <c r="L144">
        <v>154</v>
      </c>
      <c r="N144" t="s">
        <v>148</v>
      </c>
      <c r="O144">
        <v>16</v>
      </c>
      <c r="Q144">
        <v>21.023796040000001</v>
      </c>
      <c r="R144">
        <v>0.1245155</v>
      </c>
    </row>
    <row r="145" spans="1:21" hidden="1" x14ac:dyDescent="0.35">
      <c r="A145" t="s">
        <v>149</v>
      </c>
      <c r="B145">
        <v>205</v>
      </c>
      <c r="C145">
        <v>198</v>
      </c>
      <c r="D145">
        <v>9</v>
      </c>
      <c r="E145">
        <v>8</v>
      </c>
      <c r="F145">
        <v>12.04159458</v>
      </c>
      <c r="J145" t="s">
        <v>149</v>
      </c>
      <c r="K145">
        <v>247</v>
      </c>
      <c r="L145">
        <v>341</v>
      </c>
      <c r="N145" t="s">
        <v>149</v>
      </c>
      <c r="O145">
        <v>17</v>
      </c>
      <c r="Q145">
        <v>149.04026300000001</v>
      </c>
      <c r="R145">
        <v>4.9584054200000001</v>
      </c>
    </row>
    <row r="146" spans="1:21" x14ac:dyDescent="0.35">
      <c r="A146" t="s">
        <v>150</v>
      </c>
      <c r="B146">
        <v>202</v>
      </c>
      <c r="C146">
        <v>153</v>
      </c>
      <c r="D146">
        <v>11</v>
      </c>
      <c r="E146">
        <v>12</v>
      </c>
      <c r="F146">
        <v>16.2788206</v>
      </c>
      <c r="J146" t="s">
        <v>150</v>
      </c>
      <c r="K146">
        <v>199</v>
      </c>
      <c r="L146">
        <v>152</v>
      </c>
      <c r="N146" t="s">
        <v>150</v>
      </c>
      <c r="O146">
        <v>35</v>
      </c>
      <c r="Q146">
        <v>3.16227766</v>
      </c>
      <c r="R146">
        <v>18.7211794</v>
      </c>
      <c r="T146">
        <f>AVERAGE(Q146,Q147,Q148,Q149,Q151,Q152,Q153,Q158,Q160,Q163)</f>
        <v>6.4987175121999998</v>
      </c>
      <c r="U146">
        <f>AVERAGE(R146,R147,R148,R149,R151,R152,R153,R158,R160,R163)</f>
        <v>18.328096628000001</v>
      </c>
    </row>
    <row r="147" spans="1:21" x14ac:dyDescent="0.35">
      <c r="A147" t="s">
        <v>151</v>
      </c>
      <c r="B147">
        <v>167</v>
      </c>
      <c r="C147">
        <v>159</v>
      </c>
      <c r="D147">
        <v>10</v>
      </c>
      <c r="E147">
        <v>7</v>
      </c>
      <c r="F147">
        <v>12.20655562</v>
      </c>
      <c r="J147" t="s">
        <v>151</v>
      </c>
      <c r="K147">
        <v>166</v>
      </c>
      <c r="L147">
        <v>163</v>
      </c>
      <c r="N147" t="s">
        <v>151</v>
      </c>
      <c r="O147">
        <v>30</v>
      </c>
      <c r="Q147">
        <v>4.1231056260000001</v>
      </c>
      <c r="R147">
        <v>17.79344438</v>
      </c>
    </row>
    <row r="148" spans="1:21" x14ac:dyDescent="0.35">
      <c r="A148" t="s">
        <v>152</v>
      </c>
      <c r="B148">
        <v>173</v>
      </c>
      <c r="C148">
        <v>166</v>
      </c>
      <c r="D148">
        <v>12</v>
      </c>
      <c r="E148">
        <v>9</v>
      </c>
      <c r="F148">
        <v>15</v>
      </c>
      <c r="J148" t="s">
        <v>152</v>
      </c>
      <c r="K148">
        <v>168</v>
      </c>
      <c r="L148">
        <v>163</v>
      </c>
      <c r="N148" t="s">
        <v>152</v>
      </c>
      <c r="O148">
        <v>42</v>
      </c>
      <c r="Q148">
        <v>5.8309518950000001</v>
      </c>
      <c r="R148">
        <v>27</v>
      </c>
    </row>
    <row r="149" spans="1:21" x14ac:dyDescent="0.35">
      <c r="A149" t="s">
        <v>153</v>
      </c>
      <c r="B149">
        <v>172</v>
      </c>
      <c r="C149">
        <v>143</v>
      </c>
      <c r="D149">
        <v>18</v>
      </c>
      <c r="E149">
        <v>9</v>
      </c>
      <c r="F149">
        <v>20.1246118</v>
      </c>
      <c r="J149" t="s">
        <v>153</v>
      </c>
      <c r="K149">
        <v>170</v>
      </c>
      <c r="L149">
        <v>140</v>
      </c>
      <c r="N149" t="s">
        <v>153</v>
      </c>
      <c r="O149">
        <v>40</v>
      </c>
      <c r="Q149">
        <v>3.6055512749999998</v>
      </c>
      <c r="R149">
        <v>19.8753882</v>
      </c>
    </row>
    <row r="150" spans="1:21" hidden="1" x14ac:dyDescent="0.35">
      <c r="A150" t="s">
        <v>154</v>
      </c>
      <c r="B150">
        <v>230</v>
      </c>
      <c r="C150">
        <v>168</v>
      </c>
      <c r="D150">
        <v>15</v>
      </c>
      <c r="E150">
        <v>11</v>
      </c>
      <c r="F150">
        <v>18.60107524</v>
      </c>
      <c r="J150" t="s">
        <v>154</v>
      </c>
      <c r="K150">
        <v>132</v>
      </c>
      <c r="L150">
        <v>161</v>
      </c>
      <c r="N150" t="s">
        <v>154</v>
      </c>
      <c r="O150">
        <v>32</v>
      </c>
      <c r="Q150">
        <v>98.249681929999994</v>
      </c>
      <c r="R150">
        <v>13.39892476</v>
      </c>
    </row>
    <row r="151" spans="1:21" x14ac:dyDescent="0.35">
      <c r="A151" t="s">
        <v>155</v>
      </c>
      <c r="B151">
        <v>176</v>
      </c>
      <c r="C151">
        <v>146</v>
      </c>
      <c r="D151">
        <v>14</v>
      </c>
      <c r="E151">
        <v>13</v>
      </c>
      <c r="F151">
        <v>19.104973170000001</v>
      </c>
      <c r="J151" t="s">
        <v>155</v>
      </c>
      <c r="K151">
        <v>179</v>
      </c>
      <c r="L151">
        <v>150</v>
      </c>
      <c r="N151" t="s">
        <v>155</v>
      </c>
      <c r="O151">
        <v>36</v>
      </c>
      <c r="Q151">
        <v>5</v>
      </c>
      <c r="R151">
        <v>16.895026829999999</v>
      </c>
    </row>
    <row r="152" spans="1:21" x14ac:dyDescent="0.35">
      <c r="A152" t="s">
        <v>156</v>
      </c>
      <c r="B152">
        <v>185</v>
      </c>
      <c r="C152">
        <v>155</v>
      </c>
      <c r="D152">
        <v>17</v>
      </c>
      <c r="E152">
        <v>2</v>
      </c>
      <c r="F152">
        <v>17.117242770000001</v>
      </c>
      <c r="J152" t="s">
        <v>156</v>
      </c>
      <c r="K152">
        <v>177</v>
      </c>
      <c r="L152">
        <v>159</v>
      </c>
      <c r="N152" t="s">
        <v>156</v>
      </c>
      <c r="O152">
        <v>30</v>
      </c>
      <c r="Q152">
        <v>8.9442719099999994</v>
      </c>
      <c r="R152">
        <v>12.882757229999999</v>
      </c>
    </row>
    <row r="153" spans="1:21" x14ac:dyDescent="0.35">
      <c r="A153" t="s">
        <v>157</v>
      </c>
      <c r="B153">
        <v>200</v>
      </c>
      <c r="C153">
        <v>158</v>
      </c>
      <c r="D153">
        <v>13</v>
      </c>
      <c r="E153">
        <v>9</v>
      </c>
      <c r="F153">
        <v>15.811388300000001</v>
      </c>
      <c r="J153" t="s">
        <v>157</v>
      </c>
      <c r="K153">
        <v>196</v>
      </c>
      <c r="L153">
        <v>161</v>
      </c>
      <c r="N153" t="s">
        <v>157</v>
      </c>
      <c r="O153">
        <v>32</v>
      </c>
      <c r="Q153">
        <v>5</v>
      </c>
      <c r="R153">
        <v>16.188611699999999</v>
      </c>
    </row>
    <row r="154" spans="1:21" hidden="1" x14ac:dyDescent="0.35">
      <c r="A154" t="s">
        <v>158</v>
      </c>
      <c r="B154">
        <v>155</v>
      </c>
      <c r="C154">
        <v>153</v>
      </c>
      <c r="D154">
        <v>13</v>
      </c>
      <c r="E154">
        <v>8</v>
      </c>
      <c r="F154">
        <v>15.26433752</v>
      </c>
      <c r="J154" t="s">
        <v>158</v>
      </c>
      <c r="K154">
        <v>241</v>
      </c>
      <c r="L154">
        <v>159</v>
      </c>
      <c r="N154" t="s">
        <v>158</v>
      </c>
      <c r="O154">
        <v>15</v>
      </c>
      <c r="Q154">
        <v>86.209048249999995</v>
      </c>
      <c r="R154">
        <v>0.26433751999999999</v>
      </c>
    </row>
    <row r="155" spans="1:21" hidden="1" x14ac:dyDescent="0.35">
      <c r="A155" t="s">
        <v>159</v>
      </c>
      <c r="B155">
        <v>181</v>
      </c>
      <c r="C155">
        <v>169</v>
      </c>
      <c r="D155">
        <v>13</v>
      </c>
      <c r="E155">
        <v>6</v>
      </c>
      <c r="F155">
        <v>14.31782106</v>
      </c>
      <c r="J155" t="s">
        <v>159</v>
      </c>
      <c r="K155">
        <v>297</v>
      </c>
      <c r="L155">
        <v>92</v>
      </c>
      <c r="N155" t="s">
        <v>159</v>
      </c>
      <c r="O155">
        <v>33</v>
      </c>
      <c r="Q155">
        <v>139.23002550000001</v>
      </c>
      <c r="R155">
        <v>18.68217894</v>
      </c>
    </row>
    <row r="156" spans="1:21" hidden="1" x14ac:dyDescent="0.35">
      <c r="A156" t="s">
        <v>160</v>
      </c>
      <c r="B156">
        <v>184</v>
      </c>
      <c r="C156">
        <v>202</v>
      </c>
      <c r="D156">
        <v>9</v>
      </c>
      <c r="E156">
        <v>8</v>
      </c>
      <c r="F156">
        <v>12.04159458</v>
      </c>
      <c r="J156" t="s">
        <v>160</v>
      </c>
      <c r="K156">
        <v>344</v>
      </c>
      <c r="L156">
        <v>226</v>
      </c>
      <c r="N156" t="s">
        <v>160</v>
      </c>
      <c r="O156">
        <v>20</v>
      </c>
      <c r="Q156">
        <v>161.78998730000001</v>
      </c>
      <c r="R156">
        <v>7.9584054200000001</v>
      </c>
    </row>
    <row r="157" spans="1:21" hidden="1" x14ac:dyDescent="0.35">
      <c r="A157" t="s">
        <v>161</v>
      </c>
      <c r="B157">
        <v>170</v>
      </c>
      <c r="C157">
        <v>152</v>
      </c>
      <c r="D157">
        <v>15</v>
      </c>
      <c r="E157">
        <v>12</v>
      </c>
      <c r="F157">
        <v>19.20937271</v>
      </c>
      <c r="J157" t="s">
        <v>161</v>
      </c>
      <c r="K157">
        <v>300</v>
      </c>
      <c r="L157">
        <v>123</v>
      </c>
      <c r="N157" t="s">
        <v>161</v>
      </c>
      <c r="O157">
        <v>42</v>
      </c>
      <c r="Q157">
        <v>133.19534530000001</v>
      </c>
      <c r="R157">
        <v>22.79062729</v>
      </c>
    </row>
    <row r="158" spans="1:21" x14ac:dyDescent="0.35">
      <c r="A158" t="s">
        <v>162</v>
      </c>
      <c r="B158">
        <v>167</v>
      </c>
      <c r="C158">
        <v>173</v>
      </c>
      <c r="D158">
        <v>14</v>
      </c>
      <c r="E158">
        <v>5</v>
      </c>
      <c r="F158">
        <v>14.86606875</v>
      </c>
      <c r="J158" t="s">
        <v>162</v>
      </c>
      <c r="K158">
        <v>162</v>
      </c>
      <c r="L158">
        <v>181</v>
      </c>
      <c r="N158" t="s">
        <v>162</v>
      </c>
      <c r="O158">
        <v>33</v>
      </c>
      <c r="Q158">
        <v>9.4339811319999995</v>
      </c>
      <c r="R158">
        <v>18.13393125</v>
      </c>
    </row>
    <row r="159" spans="1:21" hidden="1" x14ac:dyDescent="0.35">
      <c r="A159" t="s">
        <v>163</v>
      </c>
      <c r="B159">
        <v>167</v>
      </c>
      <c r="C159">
        <v>185</v>
      </c>
      <c r="D159">
        <v>15</v>
      </c>
      <c r="E159">
        <v>12</v>
      </c>
      <c r="F159">
        <v>19.20937271</v>
      </c>
      <c r="J159" t="s">
        <v>163</v>
      </c>
      <c r="K159">
        <v>161</v>
      </c>
      <c r="L159">
        <v>85</v>
      </c>
      <c r="N159" t="s">
        <v>163</v>
      </c>
      <c r="O159">
        <v>38</v>
      </c>
      <c r="Q159">
        <v>100.1798383</v>
      </c>
      <c r="R159">
        <v>18.79062729</v>
      </c>
    </row>
    <row r="160" spans="1:21" x14ac:dyDescent="0.35">
      <c r="A160" t="s">
        <v>164</v>
      </c>
      <c r="B160">
        <v>173</v>
      </c>
      <c r="C160">
        <v>164</v>
      </c>
      <c r="D160">
        <v>16</v>
      </c>
      <c r="E160">
        <v>12</v>
      </c>
      <c r="F160">
        <v>20</v>
      </c>
      <c r="J160" t="s">
        <v>164</v>
      </c>
      <c r="K160">
        <v>184</v>
      </c>
      <c r="L160">
        <v>167</v>
      </c>
      <c r="N160" t="s">
        <v>164</v>
      </c>
      <c r="O160">
        <v>36</v>
      </c>
      <c r="Q160">
        <v>11.40175425</v>
      </c>
      <c r="R160">
        <v>16</v>
      </c>
    </row>
    <row r="161" spans="1:21" hidden="1" x14ac:dyDescent="0.35">
      <c r="A161" t="s">
        <v>165</v>
      </c>
      <c r="B161">
        <v>138</v>
      </c>
      <c r="C161">
        <v>158</v>
      </c>
      <c r="D161">
        <v>14</v>
      </c>
      <c r="E161">
        <v>10</v>
      </c>
      <c r="F161">
        <v>17.204650529999999</v>
      </c>
      <c r="J161" t="s">
        <v>165</v>
      </c>
      <c r="K161">
        <v>274</v>
      </c>
      <c r="L161">
        <v>79</v>
      </c>
      <c r="N161" t="s">
        <v>165</v>
      </c>
      <c r="O161">
        <v>35</v>
      </c>
      <c r="Q161">
        <v>157.28000510000001</v>
      </c>
      <c r="R161">
        <v>17.795349470000001</v>
      </c>
    </row>
    <row r="162" spans="1:21" hidden="1" x14ac:dyDescent="0.35">
      <c r="A162" t="s">
        <v>166</v>
      </c>
      <c r="B162">
        <v>184</v>
      </c>
      <c r="C162">
        <v>166</v>
      </c>
      <c r="D162">
        <v>16</v>
      </c>
      <c r="E162">
        <v>11</v>
      </c>
      <c r="F162">
        <v>19.416487839999998</v>
      </c>
      <c r="J162" t="s">
        <v>166</v>
      </c>
      <c r="K162">
        <v>362</v>
      </c>
      <c r="L162">
        <v>160</v>
      </c>
      <c r="N162" t="s">
        <v>166</v>
      </c>
      <c r="O162">
        <v>25</v>
      </c>
      <c r="Q162">
        <v>178.10109489999999</v>
      </c>
      <c r="R162">
        <v>5.5835121599999997</v>
      </c>
    </row>
    <row r="163" spans="1:21" x14ac:dyDescent="0.35">
      <c r="A163" t="s">
        <v>167</v>
      </c>
      <c r="B163">
        <v>167</v>
      </c>
      <c r="C163">
        <v>162</v>
      </c>
      <c r="D163">
        <v>15</v>
      </c>
      <c r="E163">
        <v>12</v>
      </c>
      <c r="F163">
        <v>19.20937271</v>
      </c>
      <c r="J163" t="s">
        <v>167</v>
      </c>
      <c r="K163">
        <v>173</v>
      </c>
      <c r="L163">
        <v>156</v>
      </c>
      <c r="N163" t="s">
        <v>167</v>
      </c>
      <c r="O163">
        <v>39</v>
      </c>
      <c r="Q163">
        <v>8.4852813739999995</v>
      </c>
      <c r="R163">
        <v>19.79062729</v>
      </c>
    </row>
    <row r="164" spans="1:21" hidden="1" x14ac:dyDescent="0.35">
      <c r="A164" t="s">
        <v>168</v>
      </c>
      <c r="B164">
        <v>217</v>
      </c>
      <c r="C164">
        <v>205</v>
      </c>
      <c r="D164">
        <v>16</v>
      </c>
      <c r="E164">
        <v>11</v>
      </c>
      <c r="F164">
        <v>19.416487839999998</v>
      </c>
      <c r="J164" t="s">
        <v>168</v>
      </c>
      <c r="K164">
        <v>102</v>
      </c>
      <c r="L164">
        <v>191</v>
      </c>
      <c r="N164" t="s">
        <v>168</v>
      </c>
      <c r="O164">
        <v>30</v>
      </c>
      <c r="Q164">
        <v>115.84903970000001</v>
      </c>
      <c r="R164">
        <v>10.58351216</v>
      </c>
    </row>
    <row r="165" spans="1:21" x14ac:dyDescent="0.35">
      <c r="A165" t="s">
        <v>169</v>
      </c>
      <c r="B165">
        <v>181</v>
      </c>
      <c r="C165">
        <v>143</v>
      </c>
      <c r="D165">
        <v>15</v>
      </c>
      <c r="E165">
        <v>9</v>
      </c>
      <c r="F165">
        <v>17.492855680000002</v>
      </c>
      <c r="J165" t="s">
        <v>169</v>
      </c>
      <c r="K165">
        <v>196</v>
      </c>
      <c r="L165">
        <v>148</v>
      </c>
      <c r="N165" t="s">
        <v>169</v>
      </c>
      <c r="O165">
        <v>37</v>
      </c>
      <c r="Q165">
        <v>15.811388300000001</v>
      </c>
      <c r="R165">
        <v>19.507144319999998</v>
      </c>
      <c r="T165">
        <f>AVERAGE(Q165,Q166,Q169,Q170,Q171,Q174,Q176,Q178,Q183,Q186,Q188,Q190)</f>
        <v>10.611888499333332</v>
      </c>
      <c r="U165">
        <f>AVERAGE(R165,R166,R169,R170,R171,R174,R176,R178,R183,R186,R188,R190)</f>
        <v>14.040224636666666</v>
      </c>
    </row>
    <row r="166" spans="1:21" x14ac:dyDescent="0.35">
      <c r="A166" t="s">
        <v>170</v>
      </c>
      <c r="B166">
        <v>196</v>
      </c>
      <c r="C166">
        <v>209</v>
      </c>
      <c r="D166">
        <v>12</v>
      </c>
      <c r="E166">
        <v>8</v>
      </c>
      <c r="F166">
        <v>14.422205099999999</v>
      </c>
      <c r="J166" t="s">
        <v>170</v>
      </c>
      <c r="K166">
        <v>184</v>
      </c>
      <c r="L166">
        <v>216</v>
      </c>
      <c r="N166" t="s">
        <v>170</v>
      </c>
      <c r="O166">
        <v>26</v>
      </c>
      <c r="Q166">
        <v>13.89244399</v>
      </c>
      <c r="R166">
        <v>11.577794900000001</v>
      </c>
      <c r="T166" t="e">
        <f>AVERAGE(N165,N169,N171,N183,N186,N188,N190)</f>
        <v>#DIV/0!</v>
      </c>
    </row>
    <row r="167" spans="1:21" hidden="1" x14ac:dyDescent="0.35">
      <c r="A167" t="s">
        <v>171</v>
      </c>
      <c r="B167">
        <v>199</v>
      </c>
      <c r="C167">
        <v>173</v>
      </c>
      <c r="D167">
        <v>16</v>
      </c>
      <c r="E167">
        <v>11</v>
      </c>
      <c r="F167">
        <v>19.416487839999998</v>
      </c>
      <c r="J167" t="s">
        <v>171</v>
      </c>
      <c r="K167">
        <v>331</v>
      </c>
      <c r="L167">
        <v>86</v>
      </c>
      <c r="N167" t="s">
        <v>171</v>
      </c>
      <c r="O167">
        <v>29</v>
      </c>
      <c r="Q167">
        <v>158.0917455</v>
      </c>
      <c r="R167">
        <v>9.5835121599999997</v>
      </c>
    </row>
    <row r="168" spans="1:21" hidden="1" x14ac:dyDescent="0.35">
      <c r="A168" t="s">
        <v>172</v>
      </c>
      <c r="B168">
        <v>188</v>
      </c>
      <c r="C168">
        <v>198</v>
      </c>
      <c r="D168">
        <v>18</v>
      </c>
      <c r="E168">
        <v>12</v>
      </c>
      <c r="F168">
        <v>21.633307649999999</v>
      </c>
      <c r="J168" t="s">
        <v>172</v>
      </c>
      <c r="K168">
        <v>85</v>
      </c>
      <c r="L168">
        <v>180</v>
      </c>
      <c r="N168" t="s">
        <v>172</v>
      </c>
      <c r="O168">
        <v>35</v>
      </c>
      <c r="Q168">
        <v>104.560987</v>
      </c>
      <c r="R168">
        <v>13.366692349999999</v>
      </c>
    </row>
    <row r="169" spans="1:21" x14ac:dyDescent="0.35">
      <c r="A169" t="s">
        <v>173</v>
      </c>
      <c r="B169">
        <v>201</v>
      </c>
      <c r="C169">
        <v>151</v>
      </c>
      <c r="D169">
        <v>12</v>
      </c>
      <c r="E169">
        <v>10</v>
      </c>
      <c r="F169">
        <v>15.620499349999999</v>
      </c>
      <c r="J169" t="s">
        <v>173</v>
      </c>
      <c r="K169">
        <v>205</v>
      </c>
      <c r="L169">
        <v>154</v>
      </c>
      <c r="N169" t="s">
        <v>173</v>
      </c>
      <c r="O169">
        <v>38</v>
      </c>
      <c r="Q169">
        <v>5</v>
      </c>
      <c r="R169">
        <v>22.379500650000001</v>
      </c>
      <c r="T169">
        <f>AVERAGE(Q165,Q169,Q171,Q183,Q186,Q188,Q190)</f>
        <v>9.4270553528571419</v>
      </c>
      <c r="U169">
        <f>AVERAGE(R165,R169,R171,R183,R186,R188,R190)</f>
        <v>17.24287862142857</v>
      </c>
    </row>
    <row r="170" spans="1:21" x14ac:dyDescent="0.35">
      <c r="A170" t="s">
        <v>174</v>
      </c>
      <c r="B170">
        <v>212</v>
      </c>
      <c r="C170">
        <v>191</v>
      </c>
      <c r="D170">
        <v>14</v>
      </c>
      <c r="E170">
        <v>13</v>
      </c>
      <c r="F170">
        <v>19.104973170000001</v>
      </c>
      <c r="J170" t="s">
        <v>174</v>
      </c>
      <c r="K170">
        <v>202</v>
      </c>
      <c r="L170">
        <v>189</v>
      </c>
      <c r="N170" t="s">
        <v>174</v>
      </c>
      <c r="O170">
        <v>34</v>
      </c>
      <c r="Q170">
        <v>10.19803903</v>
      </c>
      <c r="R170">
        <v>14.895026830000001</v>
      </c>
      <c r="T170">
        <f>AVERAGE(Q166,Q170,Q174,Q176,Q178)</f>
        <v>12.270654904399999</v>
      </c>
      <c r="U170">
        <f>AVERAGE(R166,R170,R174,R176,R178)</f>
        <v>9.5565090579999996</v>
      </c>
    </row>
    <row r="171" spans="1:21" x14ac:dyDescent="0.35">
      <c r="A171" t="s">
        <v>175</v>
      </c>
      <c r="B171">
        <v>177</v>
      </c>
      <c r="C171">
        <v>153</v>
      </c>
      <c r="D171">
        <v>14</v>
      </c>
      <c r="E171">
        <v>12</v>
      </c>
      <c r="F171">
        <v>18.439088909999999</v>
      </c>
      <c r="J171" t="s">
        <v>175</v>
      </c>
      <c r="K171">
        <v>183</v>
      </c>
      <c r="L171">
        <v>154</v>
      </c>
      <c r="N171" t="s">
        <v>175</v>
      </c>
      <c r="O171">
        <v>38</v>
      </c>
      <c r="Q171">
        <v>6.0827625300000001</v>
      </c>
      <c r="R171">
        <v>19.560911090000001</v>
      </c>
    </row>
    <row r="172" spans="1:21" hidden="1" x14ac:dyDescent="0.35">
      <c r="A172" t="s">
        <v>176</v>
      </c>
      <c r="B172">
        <v>203</v>
      </c>
      <c r="C172">
        <v>209</v>
      </c>
      <c r="D172">
        <v>18</v>
      </c>
      <c r="E172">
        <v>12</v>
      </c>
      <c r="F172">
        <v>21.633307649999999</v>
      </c>
      <c r="J172" t="s">
        <v>176</v>
      </c>
      <c r="K172">
        <v>124</v>
      </c>
      <c r="L172">
        <v>292</v>
      </c>
      <c r="N172" t="s">
        <v>176</v>
      </c>
      <c r="O172">
        <v>18</v>
      </c>
      <c r="Q172">
        <v>114.5862121</v>
      </c>
      <c r="R172">
        <v>3.6333076499999999</v>
      </c>
    </row>
    <row r="173" spans="1:21" hidden="1" x14ac:dyDescent="0.35">
      <c r="A173" t="s">
        <v>177</v>
      </c>
      <c r="B173">
        <v>193</v>
      </c>
      <c r="C173">
        <v>161</v>
      </c>
      <c r="D173">
        <v>14</v>
      </c>
      <c r="E173">
        <v>13</v>
      </c>
      <c r="F173">
        <v>19.104973170000001</v>
      </c>
      <c r="J173" t="s">
        <v>177</v>
      </c>
      <c r="K173">
        <v>274</v>
      </c>
      <c r="L173">
        <v>176</v>
      </c>
      <c r="N173" t="s">
        <v>177</v>
      </c>
      <c r="O173">
        <v>15</v>
      </c>
      <c r="Q173">
        <v>82.377181309999997</v>
      </c>
      <c r="R173">
        <v>4.1049731700000001</v>
      </c>
    </row>
    <row r="174" spans="1:21" x14ac:dyDescent="0.35">
      <c r="A174" t="s">
        <v>178</v>
      </c>
      <c r="B174">
        <v>212</v>
      </c>
      <c r="C174">
        <v>199</v>
      </c>
      <c r="D174">
        <v>22</v>
      </c>
      <c r="E174">
        <v>7</v>
      </c>
      <c r="F174">
        <v>23.086792760000002</v>
      </c>
      <c r="J174" t="s">
        <v>178</v>
      </c>
      <c r="K174">
        <v>199</v>
      </c>
      <c r="L174">
        <v>206</v>
      </c>
      <c r="N174" t="s">
        <v>178</v>
      </c>
      <c r="O174">
        <v>28</v>
      </c>
      <c r="Q174">
        <v>14.764823059999999</v>
      </c>
      <c r="R174">
        <v>4.9132072400000002</v>
      </c>
    </row>
    <row r="175" spans="1:21" hidden="1" x14ac:dyDescent="0.35">
      <c r="A175" t="s">
        <v>179</v>
      </c>
      <c r="B175">
        <v>179</v>
      </c>
      <c r="C175">
        <v>174</v>
      </c>
      <c r="D175">
        <v>19</v>
      </c>
      <c r="E175">
        <v>11</v>
      </c>
      <c r="F175">
        <v>21.954498399999999</v>
      </c>
      <c r="J175" t="s">
        <v>179</v>
      </c>
      <c r="K175">
        <v>283</v>
      </c>
      <c r="L175">
        <v>78</v>
      </c>
      <c r="N175" t="s">
        <v>179</v>
      </c>
      <c r="O175">
        <v>31</v>
      </c>
      <c r="Q175">
        <v>141.53444809999999</v>
      </c>
      <c r="R175">
        <v>9.0455015999999997</v>
      </c>
    </row>
    <row r="176" spans="1:21" x14ac:dyDescent="0.35">
      <c r="A176" t="s">
        <v>180</v>
      </c>
      <c r="B176">
        <v>222</v>
      </c>
      <c r="C176">
        <v>211</v>
      </c>
      <c r="D176">
        <v>14</v>
      </c>
      <c r="E176">
        <v>14</v>
      </c>
      <c r="F176">
        <v>19.79898987</v>
      </c>
      <c r="J176" t="s">
        <v>180</v>
      </c>
      <c r="K176">
        <v>210</v>
      </c>
      <c r="L176">
        <v>215</v>
      </c>
      <c r="N176" t="s">
        <v>180</v>
      </c>
      <c r="O176">
        <v>28</v>
      </c>
      <c r="Q176">
        <v>12.64911064</v>
      </c>
      <c r="R176">
        <v>8.2010101300000002</v>
      </c>
    </row>
    <row r="177" spans="1:21" hidden="1" x14ac:dyDescent="0.35">
      <c r="A177" t="s">
        <v>181</v>
      </c>
      <c r="B177">
        <v>203</v>
      </c>
      <c r="C177">
        <v>178</v>
      </c>
      <c r="D177">
        <v>14</v>
      </c>
      <c r="E177">
        <v>11</v>
      </c>
      <c r="F177">
        <v>17.80449381</v>
      </c>
      <c r="J177" t="s">
        <v>181</v>
      </c>
      <c r="K177">
        <v>332</v>
      </c>
      <c r="L177">
        <v>98</v>
      </c>
      <c r="N177" t="s">
        <v>181</v>
      </c>
      <c r="O177">
        <v>33</v>
      </c>
      <c r="Q177">
        <v>151.79262170000001</v>
      </c>
      <c r="R177">
        <v>15.19550619</v>
      </c>
    </row>
    <row r="178" spans="1:21" x14ac:dyDescent="0.35">
      <c r="A178" t="s">
        <v>182</v>
      </c>
      <c r="B178">
        <v>230</v>
      </c>
      <c r="C178">
        <v>201</v>
      </c>
      <c r="D178">
        <v>14</v>
      </c>
      <c r="E178">
        <v>11</v>
      </c>
      <c r="F178">
        <v>17.80449381</v>
      </c>
      <c r="J178" t="s">
        <v>182</v>
      </c>
      <c r="K178">
        <v>221</v>
      </c>
      <c r="L178">
        <v>205</v>
      </c>
      <c r="N178" t="s">
        <v>182</v>
      </c>
      <c r="O178">
        <v>26</v>
      </c>
      <c r="Q178">
        <v>9.8488578019999995</v>
      </c>
      <c r="R178">
        <v>8.1955061899999997</v>
      </c>
    </row>
    <row r="179" spans="1:21" hidden="1" x14ac:dyDescent="0.35">
      <c r="A179" t="s">
        <v>183</v>
      </c>
      <c r="B179">
        <v>203</v>
      </c>
      <c r="C179">
        <v>154</v>
      </c>
      <c r="D179">
        <v>11</v>
      </c>
      <c r="E179">
        <v>10</v>
      </c>
      <c r="F179">
        <v>14.86606875</v>
      </c>
      <c r="J179" t="s">
        <v>183</v>
      </c>
      <c r="K179">
        <v>269</v>
      </c>
      <c r="L179">
        <v>168</v>
      </c>
      <c r="N179" t="s">
        <v>183</v>
      </c>
      <c r="O179">
        <v>13</v>
      </c>
      <c r="Q179">
        <v>67.468511169999999</v>
      </c>
      <c r="R179">
        <v>1.8660687499999999</v>
      </c>
    </row>
    <row r="180" spans="1:21" hidden="1" x14ac:dyDescent="0.35">
      <c r="A180" t="s">
        <v>184</v>
      </c>
      <c r="B180">
        <v>187</v>
      </c>
      <c r="C180">
        <v>143</v>
      </c>
      <c r="D180">
        <v>21</v>
      </c>
      <c r="E180">
        <v>7</v>
      </c>
      <c r="F180">
        <v>22.135943619999999</v>
      </c>
      <c r="J180" t="s">
        <v>184</v>
      </c>
      <c r="K180">
        <v>255</v>
      </c>
      <c r="L180">
        <v>153</v>
      </c>
      <c r="N180" t="s">
        <v>184</v>
      </c>
      <c r="O180">
        <v>20</v>
      </c>
      <c r="Q180">
        <v>68.731361109999995</v>
      </c>
      <c r="R180">
        <v>2.1359436199999999</v>
      </c>
    </row>
    <row r="181" spans="1:21" hidden="1" x14ac:dyDescent="0.35">
      <c r="A181" t="s">
        <v>185</v>
      </c>
      <c r="B181">
        <v>198</v>
      </c>
      <c r="C181">
        <v>178</v>
      </c>
      <c r="D181">
        <v>12</v>
      </c>
      <c r="E181">
        <v>11</v>
      </c>
      <c r="F181">
        <v>16.2788206</v>
      </c>
      <c r="J181" t="s">
        <v>185</v>
      </c>
      <c r="K181">
        <v>262</v>
      </c>
      <c r="L181">
        <v>189</v>
      </c>
      <c r="N181" t="s">
        <v>185</v>
      </c>
      <c r="O181">
        <v>18</v>
      </c>
      <c r="Q181">
        <v>64.938432379999995</v>
      </c>
      <c r="R181">
        <v>1.7211794</v>
      </c>
    </row>
    <row r="182" spans="1:21" hidden="1" x14ac:dyDescent="0.35">
      <c r="A182" t="s">
        <v>186</v>
      </c>
      <c r="B182">
        <v>217</v>
      </c>
      <c r="C182">
        <v>186</v>
      </c>
      <c r="D182">
        <v>17</v>
      </c>
      <c r="E182">
        <v>9</v>
      </c>
      <c r="F182">
        <v>19.235384060000001</v>
      </c>
      <c r="J182" t="s">
        <v>186</v>
      </c>
      <c r="K182">
        <v>167</v>
      </c>
      <c r="L182">
        <v>184</v>
      </c>
      <c r="N182" t="s">
        <v>186</v>
      </c>
      <c r="O182">
        <v>59</v>
      </c>
      <c r="Q182">
        <v>50.039984009999998</v>
      </c>
      <c r="R182">
        <v>39.764615939999999</v>
      </c>
    </row>
    <row r="183" spans="1:21" x14ac:dyDescent="0.35">
      <c r="A183" t="s">
        <v>187</v>
      </c>
      <c r="B183">
        <v>169</v>
      </c>
      <c r="C183">
        <v>137</v>
      </c>
      <c r="D183">
        <v>11</v>
      </c>
      <c r="E183">
        <v>13</v>
      </c>
      <c r="F183">
        <v>17.029386370000001</v>
      </c>
      <c r="J183" t="s">
        <v>187</v>
      </c>
      <c r="K183">
        <v>180</v>
      </c>
      <c r="L183">
        <v>138</v>
      </c>
      <c r="N183" t="s">
        <v>187</v>
      </c>
      <c r="O183">
        <v>35</v>
      </c>
      <c r="Q183">
        <v>11.04536102</v>
      </c>
      <c r="R183">
        <v>17.970613629999999</v>
      </c>
    </row>
    <row r="184" spans="1:21" hidden="1" x14ac:dyDescent="0.35">
      <c r="A184" t="s">
        <v>188</v>
      </c>
      <c r="B184">
        <v>210</v>
      </c>
      <c r="C184">
        <v>145</v>
      </c>
      <c r="D184">
        <v>17</v>
      </c>
      <c r="E184">
        <v>13</v>
      </c>
      <c r="F184">
        <v>21.40093456</v>
      </c>
      <c r="J184" t="s">
        <v>188</v>
      </c>
      <c r="K184">
        <v>305</v>
      </c>
      <c r="L184">
        <v>63</v>
      </c>
      <c r="N184" t="s">
        <v>188</v>
      </c>
      <c r="O184">
        <v>39</v>
      </c>
      <c r="Q184">
        <v>125.49501979999999</v>
      </c>
      <c r="R184">
        <v>17.59906544</v>
      </c>
    </row>
    <row r="185" spans="1:21" hidden="1" x14ac:dyDescent="0.35">
      <c r="A185" t="s">
        <v>189</v>
      </c>
      <c r="B185">
        <v>237</v>
      </c>
      <c r="C185">
        <v>194</v>
      </c>
      <c r="D185">
        <v>17</v>
      </c>
      <c r="E185">
        <v>9</v>
      </c>
      <c r="F185">
        <v>19.235384060000001</v>
      </c>
      <c r="J185" t="s">
        <v>189</v>
      </c>
      <c r="K185">
        <v>269</v>
      </c>
      <c r="L185">
        <v>190</v>
      </c>
      <c r="N185" t="s">
        <v>189</v>
      </c>
      <c r="O185">
        <v>75</v>
      </c>
      <c r="Q185">
        <v>32.249030990000001</v>
      </c>
      <c r="R185">
        <v>55.764615939999999</v>
      </c>
    </row>
    <row r="186" spans="1:21" x14ac:dyDescent="0.35">
      <c r="A186" t="s">
        <v>190</v>
      </c>
      <c r="B186">
        <v>208</v>
      </c>
      <c r="C186">
        <v>140</v>
      </c>
      <c r="D186">
        <v>10</v>
      </c>
      <c r="E186">
        <v>10</v>
      </c>
      <c r="F186">
        <v>14.142135619999999</v>
      </c>
      <c r="J186" t="s">
        <v>190</v>
      </c>
      <c r="K186">
        <v>223</v>
      </c>
      <c r="L186">
        <v>140</v>
      </c>
      <c r="N186" t="s">
        <v>190</v>
      </c>
      <c r="O186">
        <v>38</v>
      </c>
      <c r="Q186">
        <v>15</v>
      </c>
      <c r="R186">
        <v>23.857864379999999</v>
      </c>
    </row>
    <row r="187" spans="1:21" hidden="1" x14ac:dyDescent="0.35">
      <c r="A187" t="s">
        <v>191</v>
      </c>
      <c r="B187">
        <v>190</v>
      </c>
      <c r="C187">
        <v>201</v>
      </c>
      <c r="D187">
        <v>19</v>
      </c>
      <c r="E187">
        <v>5</v>
      </c>
      <c r="F187">
        <v>19.646882699999999</v>
      </c>
      <c r="J187" t="s">
        <v>191</v>
      </c>
      <c r="K187">
        <v>270</v>
      </c>
      <c r="L187">
        <v>170</v>
      </c>
      <c r="N187" t="s">
        <v>191</v>
      </c>
      <c r="O187">
        <v>138</v>
      </c>
      <c r="Q187">
        <v>85.796270320000005</v>
      </c>
      <c r="R187">
        <v>118.35311729999999</v>
      </c>
    </row>
    <row r="188" spans="1:21" x14ac:dyDescent="0.35">
      <c r="A188" t="s">
        <v>192</v>
      </c>
      <c r="B188">
        <v>210</v>
      </c>
      <c r="C188">
        <v>179</v>
      </c>
      <c r="D188">
        <v>19</v>
      </c>
      <c r="E188">
        <v>10</v>
      </c>
      <c r="F188">
        <v>21.470910549999999</v>
      </c>
      <c r="J188" t="s">
        <v>192</v>
      </c>
      <c r="K188">
        <v>211</v>
      </c>
      <c r="L188">
        <v>189</v>
      </c>
      <c r="N188" t="s">
        <v>192</v>
      </c>
      <c r="O188">
        <v>22</v>
      </c>
      <c r="Q188">
        <v>10.04987562</v>
      </c>
      <c r="R188">
        <v>0.52908944999999996</v>
      </c>
    </row>
    <row r="189" spans="1:21" hidden="1" x14ac:dyDescent="0.35">
      <c r="A189" t="s">
        <v>193</v>
      </c>
      <c r="B189">
        <v>180</v>
      </c>
      <c r="C189">
        <v>165</v>
      </c>
      <c r="D189">
        <v>16</v>
      </c>
      <c r="E189">
        <v>12</v>
      </c>
      <c r="F189">
        <v>20</v>
      </c>
      <c r="J189" t="s">
        <v>193</v>
      </c>
      <c r="K189">
        <v>148</v>
      </c>
      <c r="L189">
        <v>158</v>
      </c>
      <c r="N189" t="s">
        <v>193</v>
      </c>
      <c r="O189">
        <v>65</v>
      </c>
      <c r="Q189">
        <v>32.756678710000003</v>
      </c>
      <c r="R189">
        <v>45</v>
      </c>
    </row>
    <row r="190" spans="1:21" x14ac:dyDescent="0.35">
      <c r="A190" t="s">
        <v>194</v>
      </c>
      <c r="B190">
        <v>151</v>
      </c>
      <c r="C190">
        <v>146</v>
      </c>
      <c r="D190">
        <v>14</v>
      </c>
      <c r="E190">
        <v>13</v>
      </c>
      <c r="F190">
        <v>19.104973170000001</v>
      </c>
      <c r="J190" t="s">
        <v>194</v>
      </c>
      <c r="K190">
        <v>154</v>
      </c>
      <c r="L190">
        <v>146</v>
      </c>
      <c r="N190" t="s">
        <v>194</v>
      </c>
      <c r="O190">
        <v>36</v>
      </c>
      <c r="Q190">
        <v>3</v>
      </c>
      <c r="R190">
        <v>16.895026829999999</v>
      </c>
    </row>
    <row r="191" spans="1:21" hidden="1" x14ac:dyDescent="0.35">
      <c r="A191" t="s">
        <v>195</v>
      </c>
      <c r="B191">
        <v>187</v>
      </c>
      <c r="C191">
        <v>167</v>
      </c>
      <c r="D191">
        <v>10</v>
      </c>
      <c r="E191">
        <v>8</v>
      </c>
      <c r="F191">
        <v>12.80624847</v>
      </c>
      <c r="J191" t="s">
        <v>195</v>
      </c>
      <c r="K191">
        <v>183</v>
      </c>
      <c r="L191">
        <v>73</v>
      </c>
      <c r="N191" t="s">
        <v>195</v>
      </c>
      <c r="O191">
        <v>24</v>
      </c>
      <c r="Q191">
        <v>94.085067890000005</v>
      </c>
      <c r="R191">
        <v>11.19375153</v>
      </c>
    </row>
    <row r="192" spans="1:21" x14ac:dyDescent="0.35">
      <c r="A192" t="s">
        <v>196</v>
      </c>
      <c r="B192">
        <v>182</v>
      </c>
      <c r="C192">
        <v>152</v>
      </c>
      <c r="D192">
        <v>14</v>
      </c>
      <c r="E192">
        <v>8</v>
      </c>
      <c r="F192">
        <v>16.124515500000001</v>
      </c>
      <c r="J192" t="s">
        <v>196</v>
      </c>
      <c r="K192">
        <v>185</v>
      </c>
      <c r="L192">
        <v>153</v>
      </c>
      <c r="N192" t="s">
        <v>196</v>
      </c>
      <c r="O192">
        <v>28</v>
      </c>
      <c r="Q192">
        <v>3.16227766</v>
      </c>
      <c r="R192">
        <v>11.875484500000001</v>
      </c>
      <c r="T192">
        <f>AVERAGE(Q192,Q198,Q200,Q206,Q210,Q212,Q215,Q219)</f>
        <v>5.2912331371250003</v>
      </c>
      <c r="U192">
        <f>AVERAGE(R192,R198,R200,R206,R210,R212,R215,R219)</f>
        <v>13.025810765000001</v>
      </c>
    </row>
    <row r="193" spans="1:21" hidden="1" x14ac:dyDescent="0.35">
      <c r="A193" t="s">
        <v>197</v>
      </c>
      <c r="B193">
        <v>144</v>
      </c>
      <c r="C193">
        <v>160</v>
      </c>
      <c r="D193">
        <v>17</v>
      </c>
      <c r="E193">
        <v>9</v>
      </c>
      <c r="F193">
        <v>19.235384060000001</v>
      </c>
      <c r="J193" t="s">
        <v>197</v>
      </c>
      <c r="K193">
        <v>84</v>
      </c>
      <c r="L193">
        <v>209</v>
      </c>
      <c r="N193" t="s">
        <v>197</v>
      </c>
      <c r="O193">
        <v>14</v>
      </c>
      <c r="Q193">
        <v>77.466121630000004</v>
      </c>
      <c r="R193">
        <v>5.2353840600000003</v>
      </c>
    </row>
    <row r="194" spans="1:21" hidden="1" x14ac:dyDescent="0.35">
      <c r="A194" t="s">
        <v>198</v>
      </c>
      <c r="B194">
        <v>195</v>
      </c>
      <c r="C194">
        <v>151</v>
      </c>
      <c r="D194">
        <v>14</v>
      </c>
      <c r="E194">
        <v>9</v>
      </c>
      <c r="F194">
        <v>16.643316980000002</v>
      </c>
      <c r="J194" t="s">
        <v>198</v>
      </c>
      <c r="K194">
        <v>276</v>
      </c>
      <c r="L194">
        <v>162</v>
      </c>
      <c r="N194" t="s">
        <v>198</v>
      </c>
      <c r="O194">
        <v>14</v>
      </c>
      <c r="Q194">
        <v>81.743501269999996</v>
      </c>
      <c r="R194">
        <v>2.6433169799999998</v>
      </c>
    </row>
    <row r="195" spans="1:21" hidden="1" x14ac:dyDescent="0.35">
      <c r="A195" t="s">
        <v>199</v>
      </c>
      <c r="B195">
        <v>168</v>
      </c>
      <c r="C195">
        <v>150</v>
      </c>
      <c r="D195">
        <v>14</v>
      </c>
      <c r="E195">
        <v>9</v>
      </c>
      <c r="F195">
        <v>16.643316980000002</v>
      </c>
      <c r="J195" t="s">
        <v>199</v>
      </c>
      <c r="K195">
        <v>97</v>
      </c>
      <c r="L195">
        <v>212</v>
      </c>
      <c r="N195" t="s">
        <v>199</v>
      </c>
      <c r="O195">
        <v>18</v>
      </c>
      <c r="Q195">
        <v>94.260277950000003</v>
      </c>
      <c r="R195">
        <v>1.35668302</v>
      </c>
    </row>
    <row r="196" spans="1:21" hidden="1" x14ac:dyDescent="0.35">
      <c r="A196" t="s">
        <v>200</v>
      </c>
      <c r="B196">
        <v>165</v>
      </c>
      <c r="C196">
        <v>160</v>
      </c>
      <c r="D196">
        <v>13</v>
      </c>
      <c r="E196">
        <v>9</v>
      </c>
      <c r="F196">
        <v>15.811388300000001</v>
      </c>
      <c r="J196" t="s">
        <v>200</v>
      </c>
      <c r="K196">
        <v>297</v>
      </c>
      <c r="L196">
        <v>83</v>
      </c>
      <c r="N196" t="s">
        <v>200</v>
      </c>
      <c r="O196">
        <v>28</v>
      </c>
      <c r="Q196">
        <v>152.81688389999999</v>
      </c>
      <c r="R196">
        <v>12.188611699999999</v>
      </c>
    </row>
    <row r="197" spans="1:21" hidden="1" x14ac:dyDescent="0.35">
      <c r="A197" t="s">
        <v>201</v>
      </c>
      <c r="B197">
        <v>160</v>
      </c>
      <c r="C197">
        <v>149</v>
      </c>
      <c r="D197">
        <v>17</v>
      </c>
      <c r="E197">
        <v>11</v>
      </c>
      <c r="F197">
        <v>20.248456730000001</v>
      </c>
      <c r="J197" t="s">
        <v>201</v>
      </c>
      <c r="K197">
        <v>100</v>
      </c>
      <c r="L197">
        <v>210</v>
      </c>
      <c r="N197" t="s">
        <v>201</v>
      </c>
      <c r="O197">
        <v>20</v>
      </c>
      <c r="Q197">
        <v>85.562842399999994</v>
      </c>
      <c r="R197">
        <v>0.24845672999999999</v>
      </c>
    </row>
    <row r="198" spans="1:21" x14ac:dyDescent="0.35">
      <c r="A198" t="s">
        <v>202</v>
      </c>
      <c r="B198">
        <v>157</v>
      </c>
      <c r="C198">
        <v>153</v>
      </c>
      <c r="D198">
        <v>17</v>
      </c>
      <c r="E198">
        <v>6</v>
      </c>
      <c r="F198">
        <v>18.02775638</v>
      </c>
      <c r="J198" t="s">
        <v>202</v>
      </c>
      <c r="K198">
        <v>159</v>
      </c>
      <c r="L198">
        <v>149</v>
      </c>
      <c r="N198" t="s">
        <v>202</v>
      </c>
      <c r="O198">
        <v>34</v>
      </c>
      <c r="Q198">
        <v>4.4721359549999997</v>
      </c>
      <c r="R198">
        <v>15.97224362</v>
      </c>
      <c r="T198">
        <f>AVERAGE(Q192,Q198,Q200,Q205,Q206,Q210,Q212,Q215,Q219)</f>
        <v>6.8260931407777772</v>
      </c>
      <c r="U198">
        <f>AVERAGE(R192,R198,R200,R205,R206,R210,R212,R215,R219)</f>
        <v>12.575414415555557</v>
      </c>
    </row>
    <row r="199" spans="1:21" hidden="1" x14ac:dyDescent="0.35">
      <c r="A199" t="s">
        <v>203</v>
      </c>
      <c r="B199">
        <v>148</v>
      </c>
      <c r="C199">
        <v>163</v>
      </c>
      <c r="D199">
        <v>17</v>
      </c>
      <c r="E199">
        <v>6</v>
      </c>
      <c r="F199">
        <v>18.02775638</v>
      </c>
      <c r="J199" t="s">
        <v>203</v>
      </c>
      <c r="K199">
        <v>98</v>
      </c>
      <c r="L199">
        <v>211</v>
      </c>
      <c r="N199" t="s">
        <v>203</v>
      </c>
      <c r="O199">
        <v>23</v>
      </c>
      <c r="Q199">
        <v>69.310893800000002</v>
      </c>
      <c r="R199">
        <v>4.9722436200000004</v>
      </c>
    </row>
    <row r="200" spans="1:21" x14ac:dyDescent="0.35">
      <c r="A200" t="s">
        <v>204</v>
      </c>
      <c r="B200">
        <v>166</v>
      </c>
      <c r="C200">
        <v>166</v>
      </c>
      <c r="D200">
        <v>15</v>
      </c>
      <c r="E200">
        <v>9</v>
      </c>
      <c r="F200">
        <v>17.492855680000002</v>
      </c>
      <c r="J200" t="s">
        <v>204</v>
      </c>
      <c r="K200">
        <v>170</v>
      </c>
      <c r="L200">
        <v>167</v>
      </c>
      <c r="N200" t="s">
        <v>204</v>
      </c>
      <c r="O200">
        <v>32</v>
      </c>
      <c r="Q200">
        <v>4.1231056260000001</v>
      </c>
      <c r="R200">
        <v>14.50714432</v>
      </c>
    </row>
    <row r="201" spans="1:21" hidden="1" x14ac:dyDescent="0.35">
      <c r="A201" t="s">
        <v>205</v>
      </c>
      <c r="B201">
        <v>169</v>
      </c>
      <c r="C201">
        <v>153</v>
      </c>
      <c r="D201">
        <v>13</v>
      </c>
      <c r="E201">
        <v>7</v>
      </c>
      <c r="F201">
        <v>14.764823059999999</v>
      </c>
      <c r="J201" t="s">
        <v>205</v>
      </c>
      <c r="K201">
        <v>108</v>
      </c>
      <c r="L201">
        <v>209</v>
      </c>
      <c r="N201" t="s">
        <v>205</v>
      </c>
      <c r="O201">
        <v>23</v>
      </c>
      <c r="Q201">
        <v>82.80700453</v>
      </c>
      <c r="R201">
        <v>8.2351769400000006</v>
      </c>
    </row>
    <row r="202" spans="1:21" hidden="1" x14ac:dyDescent="0.35">
      <c r="A202" t="s">
        <v>206</v>
      </c>
      <c r="B202">
        <v>174</v>
      </c>
      <c r="C202">
        <v>181</v>
      </c>
      <c r="D202">
        <v>15</v>
      </c>
      <c r="E202">
        <v>9</v>
      </c>
      <c r="F202">
        <v>17.492855680000002</v>
      </c>
      <c r="J202" t="s">
        <v>206</v>
      </c>
      <c r="K202">
        <v>301</v>
      </c>
      <c r="L202">
        <v>92</v>
      </c>
      <c r="N202" t="s">
        <v>206</v>
      </c>
      <c r="O202">
        <v>29</v>
      </c>
      <c r="Q202">
        <v>155.08062419999999</v>
      </c>
      <c r="R202">
        <v>11.50714432</v>
      </c>
    </row>
    <row r="203" spans="1:21" hidden="1" x14ac:dyDescent="0.35">
      <c r="A203" t="s">
        <v>207</v>
      </c>
      <c r="B203">
        <v>175</v>
      </c>
      <c r="C203">
        <v>146</v>
      </c>
      <c r="D203">
        <v>14</v>
      </c>
      <c r="E203">
        <v>6</v>
      </c>
      <c r="F203">
        <v>15.231546209999999</v>
      </c>
      <c r="J203" t="s">
        <v>207</v>
      </c>
      <c r="K203">
        <v>96</v>
      </c>
      <c r="L203">
        <v>129</v>
      </c>
      <c r="N203" t="s">
        <v>207</v>
      </c>
      <c r="O203">
        <v>29</v>
      </c>
      <c r="Q203">
        <v>80.808415400000001</v>
      </c>
      <c r="R203">
        <v>13.768453790000001</v>
      </c>
    </row>
    <row r="204" spans="1:21" hidden="1" x14ac:dyDescent="0.35">
      <c r="A204" t="s">
        <v>208</v>
      </c>
      <c r="B204">
        <v>179</v>
      </c>
      <c r="C204">
        <v>155</v>
      </c>
      <c r="D204">
        <v>16</v>
      </c>
      <c r="E204">
        <v>9</v>
      </c>
      <c r="F204">
        <v>18.35755975</v>
      </c>
      <c r="J204" t="s">
        <v>208</v>
      </c>
      <c r="K204">
        <v>309</v>
      </c>
      <c r="L204">
        <v>74</v>
      </c>
      <c r="N204" t="s">
        <v>208</v>
      </c>
      <c r="O204">
        <v>31</v>
      </c>
      <c r="Q204">
        <v>153.1698404</v>
      </c>
      <c r="R204">
        <v>12.64244025</v>
      </c>
    </row>
    <row r="205" spans="1:21" x14ac:dyDescent="0.35">
      <c r="A205" t="s">
        <v>209</v>
      </c>
      <c r="B205">
        <v>179</v>
      </c>
      <c r="C205">
        <v>141</v>
      </c>
      <c r="D205">
        <v>18</v>
      </c>
      <c r="E205">
        <v>1</v>
      </c>
      <c r="F205">
        <v>18.02775638</v>
      </c>
      <c r="J205" t="s">
        <v>209</v>
      </c>
      <c r="K205">
        <v>165</v>
      </c>
      <c r="L205">
        <v>154</v>
      </c>
      <c r="N205" t="s">
        <v>209</v>
      </c>
      <c r="O205">
        <v>27</v>
      </c>
      <c r="Q205">
        <v>19.104973170000001</v>
      </c>
      <c r="R205">
        <v>8.9722436200000004</v>
      </c>
    </row>
    <row r="206" spans="1:21" x14ac:dyDescent="0.35">
      <c r="A206" t="s">
        <v>210</v>
      </c>
      <c r="B206">
        <v>172</v>
      </c>
      <c r="C206">
        <v>148</v>
      </c>
      <c r="D206">
        <v>14</v>
      </c>
      <c r="E206">
        <v>12</v>
      </c>
      <c r="F206">
        <v>18.439088909999999</v>
      </c>
      <c r="J206" t="s">
        <v>210</v>
      </c>
      <c r="K206">
        <v>174</v>
      </c>
      <c r="L206">
        <v>151</v>
      </c>
      <c r="N206" t="s">
        <v>210</v>
      </c>
      <c r="O206">
        <v>33</v>
      </c>
      <c r="Q206">
        <v>3.6055512749999998</v>
      </c>
      <c r="R206">
        <v>14.560911089999999</v>
      </c>
    </row>
    <row r="207" spans="1:21" hidden="1" x14ac:dyDescent="0.35">
      <c r="A207" t="s">
        <v>211</v>
      </c>
      <c r="B207">
        <v>178</v>
      </c>
      <c r="C207">
        <v>162</v>
      </c>
      <c r="D207">
        <v>15</v>
      </c>
      <c r="E207">
        <v>7</v>
      </c>
      <c r="F207">
        <v>16.552945359999999</v>
      </c>
      <c r="J207" t="s">
        <v>211</v>
      </c>
      <c r="K207">
        <v>104</v>
      </c>
      <c r="L207">
        <v>210</v>
      </c>
      <c r="N207" t="s">
        <v>211</v>
      </c>
      <c r="O207">
        <v>15</v>
      </c>
      <c r="Q207">
        <v>88.204308280000006</v>
      </c>
      <c r="R207">
        <v>1.5529453600000001</v>
      </c>
    </row>
    <row r="208" spans="1:21" hidden="1" x14ac:dyDescent="0.35">
      <c r="A208" t="s">
        <v>212</v>
      </c>
      <c r="B208">
        <v>178</v>
      </c>
      <c r="C208">
        <v>168</v>
      </c>
      <c r="D208">
        <v>17</v>
      </c>
      <c r="E208">
        <v>7</v>
      </c>
      <c r="F208">
        <v>18.384776309999999</v>
      </c>
      <c r="J208" t="s">
        <v>212</v>
      </c>
      <c r="K208">
        <v>301</v>
      </c>
      <c r="L208">
        <v>81</v>
      </c>
      <c r="N208" t="s">
        <v>212</v>
      </c>
      <c r="O208">
        <v>28</v>
      </c>
      <c r="Q208">
        <v>150.65855440000001</v>
      </c>
      <c r="R208">
        <v>9.6152236900000005</v>
      </c>
    </row>
    <row r="209" spans="1:21" hidden="1" x14ac:dyDescent="0.35">
      <c r="A209" t="s">
        <v>213</v>
      </c>
      <c r="B209">
        <v>181</v>
      </c>
      <c r="C209">
        <v>152</v>
      </c>
      <c r="D209">
        <v>14</v>
      </c>
      <c r="E209">
        <v>10</v>
      </c>
      <c r="F209">
        <v>17.204650529999999</v>
      </c>
      <c r="J209" t="s">
        <v>213</v>
      </c>
      <c r="K209">
        <v>115</v>
      </c>
      <c r="L209">
        <v>199</v>
      </c>
      <c r="N209" t="s">
        <v>213</v>
      </c>
      <c r="O209">
        <v>14</v>
      </c>
      <c r="Q209">
        <v>81.024687599999993</v>
      </c>
      <c r="R209">
        <v>3.2046505299999999</v>
      </c>
    </row>
    <row r="210" spans="1:21" x14ac:dyDescent="0.35">
      <c r="A210" t="s">
        <v>214</v>
      </c>
      <c r="B210">
        <v>180</v>
      </c>
      <c r="C210">
        <v>181</v>
      </c>
      <c r="D210">
        <v>16</v>
      </c>
      <c r="E210">
        <v>7</v>
      </c>
      <c r="F210">
        <v>17.464249200000001</v>
      </c>
      <c r="J210" t="s">
        <v>214</v>
      </c>
      <c r="K210">
        <v>177</v>
      </c>
      <c r="L210">
        <v>188</v>
      </c>
      <c r="N210" t="s">
        <v>214</v>
      </c>
      <c r="O210">
        <v>29</v>
      </c>
      <c r="Q210">
        <v>7.6157731059999998</v>
      </c>
      <c r="R210">
        <v>11.535750800000001</v>
      </c>
    </row>
    <row r="211" spans="1:21" hidden="1" x14ac:dyDescent="0.35">
      <c r="A211" t="s">
        <v>215</v>
      </c>
      <c r="B211">
        <v>174</v>
      </c>
      <c r="C211">
        <v>143</v>
      </c>
      <c r="D211">
        <v>14</v>
      </c>
      <c r="E211">
        <v>10</v>
      </c>
      <c r="F211">
        <v>17.204650529999999</v>
      </c>
      <c r="J211" t="s">
        <v>215</v>
      </c>
      <c r="K211">
        <v>136</v>
      </c>
      <c r="L211">
        <v>137</v>
      </c>
      <c r="N211" t="s">
        <v>215</v>
      </c>
      <c r="O211">
        <v>55</v>
      </c>
      <c r="Q211">
        <v>38.470768120000002</v>
      </c>
      <c r="R211">
        <v>37.795349469999998</v>
      </c>
    </row>
    <row r="212" spans="1:21" x14ac:dyDescent="0.35">
      <c r="A212" t="s">
        <v>216</v>
      </c>
      <c r="B212">
        <v>170</v>
      </c>
      <c r="C212">
        <v>156</v>
      </c>
      <c r="D212">
        <v>14</v>
      </c>
      <c r="E212">
        <v>9</v>
      </c>
      <c r="F212">
        <v>16.643316980000002</v>
      </c>
      <c r="J212" t="s">
        <v>216</v>
      </c>
      <c r="K212">
        <v>176</v>
      </c>
      <c r="L212">
        <v>154</v>
      </c>
      <c r="N212" t="s">
        <v>216</v>
      </c>
      <c r="O212">
        <v>31</v>
      </c>
      <c r="Q212">
        <v>6.32455532</v>
      </c>
      <c r="R212">
        <v>14.35668302</v>
      </c>
    </row>
    <row r="213" spans="1:21" hidden="1" x14ac:dyDescent="0.35">
      <c r="A213" t="s">
        <v>217</v>
      </c>
      <c r="B213">
        <v>173</v>
      </c>
      <c r="C213">
        <v>162</v>
      </c>
      <c r="D213">
        <v>17</v>
      </c>
      <c r="E213">
        <v>7</v>
      </c>
      <c r="F213">
        <v>18.384776309999999</v>
      </c>
      <c r="J213" t="s">
        <v>217</v>
      </c>
      <c r="K213">
        <v>290</v>
      </c>
      <c r="L213">
        <v>82</v>
      </c>
      <c r="N213" t="s">
        <v>217</v>
      </c>
      <c r="O213">
        <v>29</v>
      </c>
      <c r="Q213">
        <v>141.7356695</v>
      </c>
      <c r="R213">
        <v>10.615223690000001</v>
      </c>
    </row>
    <row r="214" spans="1:21" hidden="1" x14ac:dyDescent="0.35">
      <c r="A214" t="s">
        <v>218</v>
      </c>
      <c r="B214">
        <v>176</v>
      </c>
      <c r="C214">
        <v>155</v>
      </c>
      <c r="D214">
        <v>17</v>
      </c>
      <c r="E214">
        <v>8</v>
      </c>
      <c r="F214">
        <v>18.788294230000002</v>
      </c>
      <c r="J214" t="s">
        <v>218</v>
      </c>
      <c r="K214">
        <v>104</v>
      </c>
      <c r="L214">
        <v>221</v>
      </c>
      <c r="N214" t="s">
        <v>218</v>
      </c>
      <c r="O214">
        <v>21</v>
      </c>
      <c r="Q214">
        <v>97.672923580000003</v>
      </c>
      <c r="R214">
        <v>2.21170577</v>
      </c>
    </row>
    <row r="215" spans="1:21" x14ac:dyDescent="0.35">
      <c r="A215" t="s">
        <v>219</v>
      </c>
      <c r="B215">
        <v>221</v>
      </c>
      <c r="C215">
        <v>159</v>
      </c>
      <c r="D215">
        <v>13</v>
      </c>
      <c r="E215">
        <v>8</v>
      </c>
      <c r="F215">
        <v>15.26433752</v>
      </c>
      <c r="J215" t="s">
        <v>219</v>
      </c>
      <c r="K215">
        <v>231</v>
      </c>
      <c r="L215">
        <v>161</v>
      </c>
      <c r="N215" t="s">
        <v>219</v>
      </c>
      <c r="O215">
        <v>14</v>
      </c>
      <c r="Q215">
        <v>10.19803903</v>
      </c>
      <c r="R215">
        <v>1.26433752</v>
      </c>
    </row>
    <row r="216" spans="1:21" hidden="1" x14ac:dyDescent="0.35">
      <c r="A216" t="s">
        <v>220</v>
      </c>
      <c r="B216">
        <v>155</v>
      </c>
      <c r="C216">
        <v>181</v>
      </c>
      <c r="D216">
        <v>14</v>
      </c>
      <c r="E216">
        <v>8</v>
      </c>
      <c r="F216">
        <v>16.124515500000001</v>
      </c>
      <c r="J216" t="s">
        <v>220</v>
      </c>
      <c r="K216">
        <v>243</v>
      </c>
      <c r="L216">
        <v>194</v>
      </c>
      <c r="N216" t="s">
        <v>220</v>
      </c>
      <c r="O216">
        <v>18</v>
      </c>
      <c r="Q216">
        <v>88.955044830000006</v>
      </c>
      <c r="R216">
        <v>1.8754845</v>
      </c>
    </row>
    <row r="217" spans="1:21" hidden="1" x14ac:dyDescent="0.35">
      <c r="A217" t="s">
        <v>221</v>
      </c>
      <c r="B217">
        <v>146</v>
      </c>
      <c r="C217">
        <v>160</v>
      </c>
      <c r="D217">
        <v>16</v>
      </c>
      <c r="E217">
        <v>9</v>
      </c>
      <c r="F217">
        <v>18.35755975</v>
      </c>
      <c r="J217" t="s">
        <v>221</v>
      </c>
      <c r="K217">
        <v>226</v>
      </c>
      <c r="L217">
        <v>174</v>
      </c>
      <c r="N217" t="s">
        <v>221</v>
      </c>
      <c r="O217">
        <v>16</v>
      </c>
      <c r="Q217">
        <v>81.21576202</v>
      </c>
      <c r="R217">
        <v>2.3575597500000001</v>
      </c>
    </row>
    <row r="218" spans="1:21" hidden="1" x14ac:dyDescent="0.35">
      <c r="A218" t="s">
        <v>222</v>
      </c>
      <c r="B218">
        <v>137</v>
      </c>
      <c r="C218">
        <v>162</v>
      </c>
      <c r="D218">
        <v>9</v>
      </c>
      <c r="E218">
        <v>12</v>
      </c>
      <c r="F218">
        <v>15</v>
      </c>
      <c r="J218" t="s">
        <v>222</v>
      </c>
      <c r="K218">
        <v>188</v>
      </c>
      <c r="L218">
        <v>158</v>
      </c>
      <c r="N218" t="s">
        <v>222</v>
      </c>
      <c r="O218">
        <v>49</v>
      </c>
      <c r="Q218">
        <v>51.156622249999998</v>
      </c>
      <c r="R218">
        <v>34</v>
      </c>
    </row>
    <row r="219" spans="1:21" x14ac:dyDescent="0.35">
      <c r="A219" t="s">
        <v>223</v>
      </c>
      <c r="B219">
        <v>162</v>
      </c>
      <c r="C219">
        <v>144</v>
      </c>
      <c r="D219">
        <v>14</v>
      </c>
      <c r="E219">
        <v>5</v>
      </c>
      <c r="F219">
        <v>14.86606875</v>
      </c>
      <c r="J219" t="s">
        <v>223</v>
      </c>
      <c r="K219">
        <v>164</v>
      </c>
      <c r="L219">
        <v>142</v>
      </c>
      <c r="N219" t="s">
        <v>223</v>
      </c>
      <c r="O219">
        <v>35</v>
      </c>
      <c r="Q219">
        <v>2.8284271250000002</v>
      </c>
      <c r="R219">
        <v>20.13393125</v>
      </c>
    </row>
    <row r="220" spans="1:21" x14ac:dyDescent="0.35">
      <c r="A220" t="s">
        <v>224</v>
      </c>
      <c r="B220">
        <v>176</v>
      </c>
      <c r="C220">
        <v>162</v>
      </c>
      <c r="D220">
        <v>15</v>
      </c>
      <c r="E220">
        <v>7</v>
      </c>
      <c r="F220">
        <v>16.552945359999999</v>
      </c>
      <c r="J220" t="s">
        <v>224</v>
      </c>
      <c r="K220">
        <v>172</v>
      </c>
      <c r="L220">
        <v>166</v>
      </c>
      <c r="N220" t="s">
        <v>224</v>
      </c>
      <c r="O220">
        <v>33</v>
      </c>
      <c r="Q220">
        <v>5.6568542490000002</v>
      </c>
      <c r="R220">
        <v>16.447054640000001</v>
      </c>
      <c r="T220">
        <f>AVERAGE(Q220,Q221,Q225,Q227,Q235,Q241,Q244,Q245,Q248,Q249)</f>
        <v>11.100092227500001</v>
      </c>
      <c r="U220">
        <f>AVERAGE(R220,R221,R225,R227,R235,R241,R244,R245,R248,R249)</f>
        <v>18.118569594</v>
      </c>
    </row>
    <row r="221" spans="1:21" x14ac:dyDescent="0.35">
      <c r="A221" t="s">
        <v>225</v>
      </c>
      <c r="B221">
        <v>184</v>
      </c>
      <c r="C221">
        <v>155</v>
      </c>
      <c r="D221">
        <v>12</v>
      </c>
      <c r="E221">
        <v>8</v>
      </c>
      <c r="F221">
        <v>14.422205099999999</v>
      </c>
      <c r="J221" t="s">
        <v>225</v>
      </c>
      <c r="K221">
        <v>194</v>
      </c>
      <c r="L221">
        <v>159</v>
      </c>
      <c r="N221" t="s">
        <v>225</v>
      </c>
      <c r="O221">
        <v>35</v>
      </c>
      <c r="Q221">
        <v>10.770329609999999</v>
      </c>
      <c r="R221">
        <v>20.577794900000001</v>
      </c>
      <c r="T221">
        <f>AVERAGE(Q221,Q225,Q227,Q235,Q241,Q245,Q249)</f>
        <v>10.847531420857143</v>
      </c>
      <c r="U221">
        <f>AVERAGE(R221,R225,R227,R235,R241,R245,R249)</f>
        <v>16.02810852857143</v>
      </c>
    </row>
    <row r="222" spans="1:21" hidden="1" x14ac:dyDescent="0.35">
      <c r="A222" t="s">
        <v>226</v>
      </c>
      <c r="B222">
        <v>144</v>
      </c>
      <c r="C222">
        <v>160</v>
      </c>
      <c r="D222">
        <v>12</v>
      </c>
      <c r="E222">
        <v>10</v>
      </c>
      <c r="F222">
        <v>15.620499349999999</v>
      </c>
      <c r="J222" t="s">
        <v>226</v>
      </c>
      <c r="K222">
        <v>58</v>
      </c>
      <c r="L222">
        <v>139</v>
      </c>
      <c r="N222" t="s">
        <v>226</v>
      </c>
      <c r="O222">
        <v>33</v>
      </c>
      <c r="Q222">
        <v>88.526832089999999</v>
      </c>
      <c r="R222">
        <v>17.379500650000001</v>
      </c>
    </row>
    <row r="223" spans="1:21" hidden="1" x14ac:dyDescent="0.35">
      <c r="A223" t="s">
        <v>227</v>
      </c>
      <c r="B223">
        <v>168</v>
      </c>
      <c r="C223">
        <v>177</v>
      </c>
      <c r="D223">
        <v>14</v>
      </c>
      <c r="E223">
        <v>9</v>
      </c>
      <c r="F223">
        <v>16.643316980000002</v>
      </c>
      <c r="J223" t="s">
        <v>227</v>
      </c>
      <c r="K223">
        <v>301</v>
      </c>
      <c r="L223">
        <v>109</v>
      </c>
      <c r="N223" t="s">
        <v>227</v>
      </c>
      <c r="O223">
        <v>17</v>
      </c>
      <c r="Q223">
        <v>149.37536610000001</v>
      </c>
      <c r="R223">
        <v>0.35668302000000002</v>
      </c>
    </row>
    <row r="224" spans="1:21" hidden="1" x14ac:dyDescent="0.35">
      <c r="A224" t="s">
        <v>228</v>
      </c>
      <c r="B224">
        <v>188</v>
      </c>
      <c r="C224">
        <v>153</v>
      </c>
      <c r="D224">
        <v>17</v>
      </c>
      <c r="E224">
        <v>6</v>
      </c>
      <c r="F224">
        <v>18.02775638</v>
      </c>
      <c r="J224" t="s">
        <v>228</v>
      </c>
      <c r="K224">
        <v>268</v>
      </c>
      <c r="L224">
        <v>145</v>
      </c>
      <c r="N224" t="s">
        <v>228</v>
      </c>
      <c r="O224">
        <v>66</v>
      </c>
      <c r="Q224">
        <v>80.399004969999993</v>
      </c>
      <c r="R224">
        <v>47.97224362</v>
      </c>
    </row>
    <row r="225" spans="1:21" x14ac:dyDescent="0.35">
      <c r="A225" t="s">
        <v>229</v>
      </c>
      <c r="B225">
        <v>167</v>
      </c>
      <c r="C225">
        <v>151</v>
      </c>
      <c r="D225">
        <v>12</v>
      </c>
      <c r="E225">
        <v>11</v>
      </c>
      <c r="F225">
        <v>16.2788206</v>
      </c>
      <c r="J225" t="s">
        <v>229</v>
      </c>
      <c r="K225">
        <v>177</v>
      </c>
      <c r="L225">
        <v>159</v>
      </c>
      <c r="N225" t="s">
        <v>229</v>
      </c>
      <c r="O225">
        <v>34</v>
      </c>
      <c r="Q225">
        <v>12.80624847</v>
      </c>
      <c r="R225">
        <v>17.7211794</v>
      </c>
      <c r="T225">
        <f>AVERAGE(Q220,Q244,Q248)</f>
        <v>11.689400776333335</v>
      </c>
      <c r="U225">
        <f>AVERAGE(R220,R244,R248)</f>
        <v>22.996312079999999</v>
      </c>
    </row>
    <row r="226" spans="1:21" hidden="1" x14ac:dyDescent="0.35">
      <c r="A226" t="s">
        <v>230</v>
      </c>
      <c r="B226">
        <v>179</v>
      </c>
      <c r="C226">
        <v>172</v>
      </c>
      <c r="D226">
        <v>15</v>
      </c>
      <c r="E226">
        <v>10</v>
      </c>
      <c r="F226">
        <v>18.02775638</v>
      </c>
      <c r="J226" t="s">
        <v>230</v>
      </c>
      <c r="K226">
        <v>137</v>
      </c>
      <c r="L226">
        <v>162</v>
      </c>
      <c r="N226" t="s">
        <v>230</v>
      </c>
      <c r="O226">
        <v>66</v>
      </c>
      <c r="Q226">
        <v>43.174066289999999</v>
      </c>
      <c r="R226">
        <v>47.97224362</v>
      </c>
    </row>
    <row r="227" spans="1:21" x14ac:dyDescent="0.35">
      <c r="A227" t="s">
        <v>231</v>
      </c>
      <c r="B227">
        <v>184</v>
      </c>
      <c r="C227">
        <v>156</v>
      </c>
      <c r="D227">
        <v>17</v>
      </c>
      <c r="E227">
        <v>7</v>
      </c>
      <c r="F227">
        <v>18.384776309999999</v>
      </c>
      <c r="J227" t="s">
        <v>231</v>
      </c>
      <c r="K227">
        <v>192</v>
      </c>
      <c r="L227">
        <v>162</v>
      </c>
      <c r="N227" t="s">
        <v>231</v>
      </c>
      <c r="O227">
        <v>34</v>
      </c>
      <c r="Q227">
        <v>10</v>
      </c>
      <c r="R227">
        <v>15.615223690000001</v>
      </c>
    </row>
    <row r="228" spans="1:21" hidden="1" x14ac:dyDescent="0.35">
      <c r="A228" t="s">
        <v>232</v>
      </c>
      <c r="B228">
        <v>157</v>
      </c>
      <c r="C228">
        <v>158</v>
      </c>
      <c r="D228">
        <v>17</v>
      </c>
      <c r="E228">
        <v>11</v>
      </c>
      <c r="F228">
        <v>20.248456730000001</v>
      </c>
      <c r="J228" t="s">
        <v>232</v>
      </c>
      <c r="K228">
        <v>257</v>
      </c>
      <c r="L228">
        <v>175</v>
      </c>
      <c r="N228" t="s">
        <v>232</v>
      </c>
      <c r="O228">
        <v>17</v>
      </c>
      <c r="Q228">
        <v>101.43470809999999</v>
      </c>
      <c r="R228">
        <v>3.24845673</v>
      </c>
    </row>
    <row r="229" spans="1:21" hidden="1" x14ac:dyDescent="0.35">
      <c r="A229" t="s">
        <v>233</v>
      </c>
      <c r="B229">
        <v>161</v>
      </c>
      <c r="C229">
        <v>160</v>
      </c>
      <c r="D229">
        <v>16</v>
      </c>
      <c r="E229">
        <v>11</v>
      </c>
      <c r="F229">
        <v>19.416487839999998</v>
      </c>
      <c r="J229" t="s">
        <v>233</v>
      </c>
      <c r="K229">
        <v>242</v>
      </c>
      <c r="L229">
        <v>175</v>
      </c>
      <c r="N229" t="s">
        <v>233</v>
      </c>
      <c r="O229">
        <v>12</v>
      </c>
      <c r="Q229">
        <v>82.377181309999997</v>
      </c>
      <c r="R229">
        <v>7.4164878400000003</v>
      </c>
    </row>
    <row r="230" spans="1:21" hidden="1" x14ac:dyDescent="0.35">
      <c r="A230" t="s">
        <v>234</v>
      </c>
      <c r="B230">
        <v>191</v>
      </c>
      <c r="C230">
        <v>138</v>
      </c>
      <c r="D230">
        <v>19</v>
      </c>
      <c r="E230">
        <v>6</v>
      </c>
      <c r="F230">
        <v>19.92485885</v>
      </c>
      <c r="J230" t="s">
        <v>234</v>
      </c>
      <c r="K230">
        <v>100</v>
      </c>
      <c r="L230">
        <v>122</v>
      </c>
      <c r="N230" t="s">
        <v>234</v>
      </c>
      <c r="O230">
        <v>34</v>
      </c>
      <c r="Q230">
        <v>92.395887349999995</v>
      </c>
      <c r="R230">
        <v>14.07514115</v>
      </c>
    </row>
    <row r="231" spans="1:21" hidden="1" x14ac:dyDescent="0.35">
      <c r="A231" t="s">
        <v>235</v>
      </c>
      <c r="B231">
        <v>174</v>
      </c>
      <c r="C231">
        <v>187</v>
      </c>
      <c r="D231">
        <v>14</v>
      </c>
      <c r="E231">
        <v>7</v>
      </c>
      <c r="F231">
        <v>15.652475839999999</v>
      </c>
      <c r="J231" t="s">
        <v>235</v>
      </c>
      <c r="K231">
        <v>256</v>
      </c>
      <c r="L231">
        <v>201</v>
      </c>
      <c r="N231" t="s">
        <v>235</v>
      </c>
      <c r="O231">
        <v>16</v>
      </c>
      <c r="Q231">
        <v>83.186537369999996</v>
      </c>
      <c r="R231">
        <v>0.34752416000000003</v>
      </c>
    </row>
    <row r="232" spans="1:21" hidden="1" x14ac:dyDescent="0.35">
      <c r="A232" t="s">
        <v>236</v>
      </c>
      <c r="B232">
        <v>199</v>
      </c>
      <c r="C232">
        <v>162</v>
      </c>
      <c r="D232">
        <v>15</v>
      </c>
      <c r="E232">
        <v>9</v>
      </c>
      <c r="F232">
        <v>17.492855680000002</v>
      </c>
      <c r="J232" t="s">
        <v>236</v>
      </c>
      <c r="K232">
        <v>280</v>
      </c>
      <c r="L232">
        <v>176</v>
      </c>
      <c r="N232" t="s">
        <v>236</v>
      </c>
      <c r="O232">
        <v>16</v>
      </c>
      <c r="Q232">
        <v>82.200973230000002</v>
      </c>
      <c r="R232">
        <v>1.4928556799999999</v>
      </c>
    </row>
    <row r="233" spans="1:21" hidden="1" x14ac:dyDescent="0.35">
      <c r="A233" t="s">
        <v>237</v>
      </c>
      <c r="B233">
        <v>199</v>
      </c>
      <c r="C233">
        <v>160</v>
      </c>
      <c r="D233">
        <v>17</v>
      </c>
      <c r="E233">
        <v>10</v>
      </c>
      <c r="F233">
        <v>19.72308292</v>
      </c>
      <c r="J233" t="s">
        <v>237</v>
      </c>
      <c r="K233">
        <v>276</v>
      </c>
      <c r="L233">
        <v>175</v>
      </c>
      <c r="N233" t="s">
        <v>237</v>
      </c>
      <c r="O233">
        <v>17</v>
      </c>
      <c r="Q233">
        <v>78.447434630000004</v>
      </c>
      <c r="R233">
        <v>2.72308292</v>
      </c>
    </row>
    <row r="234" spans="1:21" hidden="1" x14ac:dyDescent="0.35">
      <c r="A234" t="s">
        <v>238</v>
      </c>
      <c r="B234">
        <v>180</v>
      </c>
      <c r="C234">
        <v>162</v>
      </c>
      <c r="D234">
        <v>15</v>
      </c>
      <c r="E234">
        <v>12</v>
      </c>
      <c r="F234">
        <v>19.20937271</v>
      </c>
      <c r="J234" t="s">
        <v>238</v>
      </c>
      <c r="K234">
        <v>68</v>
      </c>
      <c r="L234">
        <v>144</v>
      </c>
      <c r="N234" t="s">
        <v>238</v>
      </c>
      <c r="O234">
        <v>34</v>
      </c>
      <c r="Q234">
        <v>113.4372073</v>
      </c>
      <c r="R234">
        <v>14.79062729</v>
      </c>
    </row>
    <row r="235" spans="1:21" x14ac:dyDescent="0.35">
      <c r="A235" t="s">
        <v>239</v>
      </c>
      <c r="B235">
        <v>226</v>
      </c>
      <c r="C235">
        <v>185</v>
      </c>
      <c r="D235">
        <v>19</v>
      </c>
      <c r="E235">
        <v>6</v>
      </c>
      <c r="F235">
        <v>19.92485885</v>
      </c>
      <c r="J235" t="s">
        <v>239</v>
      </c>
      <c r="K235">
        <v>226</v>
      </c>
      <c r="L235">
        <v>194</v>
      </c>
      <c r="N235" t="s">
        <v>239</v>
      </c>
      <c r="O235">
        <v>30</v>
      </c>
      <c r="Q235">
        <v>9</v>
      </c>
      <c r="R235">
        <v>10.07514115</v>
      </c>
    </row>
    <row r="236" spans="1:21" hidden="1" x14ac:dyDescent="0.35">
      <c r="A236" t="s">
        <v>240</v>
      </c>
      <c r="B236">
        <v>183</v>
      </c>
      <c r="C236">
        <v>157</v>
      </c>
      <c r="D236">
        <v>14</v>
      </c>
      <c r="E236">
        <v>6</v>
      </c>
      <c r="F236">
        <v>15.231546209999999</v>
      </c>
      <c r="J236" t="s">
        <v>240</v>
      </c>
      <c r="K236">
        <v>77</v>
      </c>
      <c r="L236">
        <v>133</v>
      </c>
      <c r="N236" t="s">
        <v>240</v>
      </c>
      <c r="O236">
        <v>24</v>
      </c>
      <c r="Q236">
        <v>108.68302540000001</v>
      </c>
      <c r="R236">
        <v>8.7684537900000006</v>
      </c>
    </row>
    <row r="237" spans="1:21" hidden="1" x14ac:dyDescent="0.35">
      <c r="A237" t="s">
        <v>241</v>
      </c>
      <c r="B237">
        <v>199</v>
      </c>
      <c r="C237">
        <v>171</v>
      </c>
      <c r="D237">
        <v>17</v>
      </c>
      <c r="E237">
        <v>8</v>
      </c>
      <c r="F237">
        <v>18.788294230000002</v>
      </c>
      <c r="J237" t="s">
        <v>241</v>
      </c>
      <c r="K237">
        <v>266</v>
      </c>
      <c r="L237">
        <v>185</v>
      </c>
      <c r="N237" t="s">
        <v>241</v>
      </c>
      <c r="O237">
        <v>19</v>
      </c>
      <c r="Q237">
        <v>68.447059830000001</v>
      </c>
      <c r="R237">
        <v>0.21170576999999999</v>
      </c>
    </row>
    <row r="238" spans="1:21" hidden="1" x14ac:dyDescent="0.35">
      <c r="A238" t="s">
        <v>242</v>
      </c>
      <c r="B238">
        <v>191</v>
      </c>
      <c r="C238">
        <v>162</v>
      </c>
      <c r="D238">
        <v>18</v>
      </c>
      <c r="E238">
        <v>9</v>
      </c>
      <c r="F238">
        <v>20.1246118</v>
      </c>
      <c r="J238" t="s">
        <v>242</v>
      </c>
      <c r="K238">
        <v>77</v>
      </c>
      <c r="L238">
        <v>137</v>
      </c>
      <c r="N238" t="s">
        <v>242</v>
      </c>
      <c r="O238">
        <v>27</v>
      </c>
      <c r="Q238">
        <v>116.70903989999999</v>
      </c>
      <c r="R238">
        <v>6.8753881999999997</v>
      </c>
    </row>
    <row r="239" spans="1:21" hidden="1" x14ac:dyDescent="0.35">
      <c r="A239" t="s">
        <v>243</v>
      </c>
      <c r="B239">
        <v>161</v>
      </c>
      <c r="C239">
        <v>160</v>
      </c>
      <c r="D239">
        <v>13</v>
      </c>
      <c r="E239">
        <v>11</v>
      </c>
      <c r="F239">
        <v>17.029386370000001</v>
      </c>
      <c r="J239" t="s">
        <v>243</v>
      </c>
      <c r="K239">
        <v>380</v>
      </c>
      <c r="L239">
        <v>264</v>
      </c>
      <c r="N239" t="s">
        <v>243</v>
      </c>
      <c r="O239">
        <v>16</v>
      </c>
      <c r="Q239">
        <v>242.43968319999999</v>
      </c>
      <c r="R239">
        <v>1.0293863700000001</v>
      </c>
    </row>
    <row r="240" spans="1:21" hidden="1" x14ac:dyDescent="0.35">
      <c r="A240" t="s">
        <v>244</v>
      </c>
      <c r="B240">
        <v>166</v>
      </c>
      <c r="C240">
        <v>149</v>
      </c>
      <c r="D240">
        <v>15</v>
      </c>
      <c r="E240">
        <v>10</v>
      </c>
      <c r="F240">
        <v>18.02775638</v>
      </c>
      <c r="J240" t="s">
        <v>244</v>
      </c>
      <c r="K240">
        <v>130</v>
      </c>
      <c r="L240">
        <v>136</v>
      </c>
      <c r="N240" t="s">
        <v>244</v>
      </c>
      <c r="O240">
        <v>62</v>
      </c>
      <c r="Q240">
        <v>38.275318419999998</v>
      </c>
      <c r="R240">
        <v>43.97224362</v>
      </c>
    </row>
    <row r="241" spans="1:21" x14ac:dyDescent="0.35">
      <c r="A241" t="s">
        <v>245</v>
      </c>
      <c r="B241">
        <v>171</v>
      </c>
      <c r="C241">
        <v>143</v>
      </c>
      <c r="D241">
        <v>15</v>
      </c>
      <c r="E241">
        <v>10</v>
      </c>
      <c r="F241">
        <v>18.02775638</v>
      </c>
      <c r="J241" t="s">
        <v>245</v>
      </c>
      <c r="K241">
        <v>178</v>
      </c>
      <c r="L241">
        <v>146</v>
      </c>
      <c r="N241" t="s">
        <v>245</v>
      </c>
      <c r="O241">
        <v>35</v>
      </c>
      <c r="Q241">
        <v>7.6157731059999998</v>
      </c>
      <c r="R241">
        <v>16.97224362</v>
      </c>
    </row>
    <row r="242" spans="1:21" hidden="1" x14ac:dyDescent="0.35">
      <c r="A242" t="s">
        <v>246</v>
      </c>
      <c r="B242">
        <v>204</v>
      </c>
      <c r="C242">
        <v>195</v>
      </c>
      <c r="D242">
        <v>11</v>
      </c>
      <c r="E242">
        <v>6</v>
      </c>
      <c r="F242">
        <v>12.52996409</v>
      </c>
      <c r="J242" t="s">
        <v>246</v>
      </c>
      <c r="K242">
        <v>112</v>
      </c>
      <c r="L242">
        <v>242</v>
      </c>
      <c r="N242" t="s">
        <v>246</v>
      </c>
      <c r="O242">
        <v>14</v>
      </c>
      <c r="Q242">
        <v>103.31021250000001</v>
      </c>
      <c r="R242">
        <v>1.47003591</v>
      </c>
    </row>
    <row r="243" spans="1:21" hidden="1" x14ac:dyDescent="0.35">
      <c r="A243" t="s">
        <v>247</v>
      </c>
      <c r="B243">
        <v>187</v>
      </c>
      <c r="C243">
        <v>154</v>
      </c>
      <c r="D243">
        <v>15</v>
      </c>
      <c r="E243">
        <v>11</v>
      </c>
      <c r="F243">
        <v>18.60107524</v>
      </c>
      <c r="J243" t="s">
        <v>247</v>
      </c>
      <c r="K243">
        <v>286</v>
      </c>
      <c r="L243">
        <v>80</v>
      </c>
      <c r="N243" t="s">
        <v>247</v>
      </c>
      <c r="O243">
        <v>33</v>
      </c>
      <c r="Q243">
        <v>123.6001618</v>
      </c>
      <c r="R243">
        <v>14.39892476</v>
      </c>
    </row>
    <row r="244" spans="1:21" x14ac:dyDescent="0.35">
      <c r="A244" t="s">
        <v>248</v>
      </c>
      <c r="B244">
        <v>183</v>
      </c>
      <c r="C244">
        <v>154</v>
      </c>
      <c r="D244">
        <v>17</v>
      </c>
      <c r="E244">
        <v>17</v>
      </c>
      <c r="F244">
        <v>24.041630560000002</v>
      </c>
      <c r="J244" t="s">
        <v>248</v>
      </c>
      <c r="K244">
        <v>181</v>
      </c>
      <c r="L244">
        <v>148</v>
      </c>
      <c r="N244" t="s">
        <v>248</v>
      </c>
      <c r="O244">
        <v>37</v>
      </c>
      <c r="Q244">
        <v>6.32455532</v>
      </c>
      <c r="R244">
        <v>12.95836944</v>
      </c>
    </row>
    <row r="245" spans="1:21" x14ac:dyDescent="0.35">
      <c r="A245" t="s">
        <v>249</v>
      </c>
      <c r="B245">
        <v>185</v>
      </c>
      <c r="C245">
        <v>153</v>
      </c>
      <c r="D245">
        <v>9</v>
      </c>
      <c r="E245">
        <v>12</v>
      </c>
      <c r="F245">
        <v>15</v>
      </c>
      <c r="J245" t="s">
        <v>249</v>
      </c>
      <c r="K245">
        <v>199</v>
      </c>
      <c r="L245">
        <v>154</v>
      </c>
      <c r="N245" t="s">
        <v>249</v>
      </c>
      <c r="O245">
        <v>33</v>
      </c>
      <c r="Q245">
        <v>14.03566885</v>
      </c>
      <c r="R245">
        <v>18</v>
      </c>
    </row>
    <row r="246" spans="1:21" hidden="1" x14ac:dyDescent="0.35">
      <c r="A246" t="s">
        <v>250</v>
      </c>
      <c r="B246">
        <v>154</v>
      </c>
      <c r="C246">
        <v>174</v>
      </c>
      <c r="D246">
        <v>15</v>
      </c>
      <c r="E246">
        <v>6</v>
      </c>
      <c r="F246">
        <v>16.15549442</v>
      </c>
      <c r="J246" t="s">
        <v>250</v>
      </c>
      <c r="K246">
        <v>237</v>
      </c>
      <c r="L246">
        <v>187</v>
      </c>
      <c r="N246" t="s">
        <v>250</v>
      </c>
      <c r="O246">
        <v>24</v>
      </c>
      <c r="Q246">
        <v>84.011903919999995</v>
      </c>
      <c r="R246">
        <v>7.8445055799999999</v>
      </c>
    </row>
    <row r="247" spans="1:21" hidden="1" x14ac:dyDescent="0.35">
      <c r="A247" t="s">
        <v>251</v>
      </c>
      <c r="B247">
        <v>151</v>
      </c>
      <c r="C247">
        <v>140</v>
      </c>
      <c r="D247">
        <v>13</v>
      </c>
      <c r="E247">
        <v>6</v>
      </c>
      <c r="F247">
        <v>14.31782106</v>
      </c>
      <c r="J247" t="s">
        <v>251</v>
      </c>
      <c r="K247">
        <v>284</v>
      </c>
      <c r="L247">
        <v>68</v>
      </c>
      <c r="N247" t="s">
        <v>251</v>
      </c>
      <c r="O247">
        <v>45</v>
      </c>
      <c r="Q247">
        <v>151.23822269999999</v>
      </c>
      <c r="R247">
        <v>30.68217894</v>
      </c>
    </row>
    <row r="248" spans="1:21" x14ac:dyDescent="0.35">
      <c r="A248" t="s">
        <v>252</v>
      </c>
      <c r="B248">
        <v>143</v>
      </c>
      <c r="C248">
        <v>148</v>
      </c>
      <c r="D248">
        <v>16</v>
      </c>
      <c r="E248">
        <v>11</v>
      </c>
      <c r="F248">
        <v>19.416487839999998</v>
      </c>
      <c r="J248" t="s">
        <v>252</v>
      </c>
      <c r="K248">
        <v>121</v>
      </c>
      <c r="L248">
        <v>141</v>
      </c>
      <c r="N248" t="s">
        <v>252</v>
      </c>
      <c r="O248">
        <v>59</v>
      </c>
      <c r="Q248">
        <v>23.086792760000002</v>
      </c>
      <c r="R248">
        <v>39.583512159999998</v>
      </c>
    </row>
    <row r="249" spans="1:21" x14ac:dyDescent="0.35">
      <c r="A249" t="s">
        <v>253</v>
      </c>
      <c r="B249">
        <v>145</v>
      </c>
      <c r="C249">
        <v>147</v>
      </c>
      <c r="D249">
        <v>13</v>
      </c>
      <c r="E249">
        <v>7</v>
      </c>
      <c r="F249">
        <v>14.764823059999999</v>
      </c>
      <c r="J249" t="s">
        <v>253</v>
      </c>
      <c r="K249">
        <v>156</v>
      </c>
      <c r="L249">
        <v>151</v>
      </c>
      <c r="N249" t="s">
        <v>253</v>
      </c>
      <c r="O249">
        <v>28</v>
      </c>
      <c r="Q249">
        <v>11.70469991</v>
      </c>
      <c r="R249">
        <v>13.235176940000001</v>
      </c>
    </row>
    <row r="250" spans="1:21" x14ac:dyDescent="0.35">
      <c r="A250" t="s">
        <v>254</v>
      </c>
      <c r="B250">
        <v>211</v>
      </c>
      <c r="C250">
        <v>160</v>
      </c>
      <c r="D250">
        <v>15</v>
      </c>
      <c r="E250">
        <v>8</v>
      </c>
      <c r="F250">
        <v>17</v>
      </c>
      <c r="J250" t="s">
        <v>254</v>
      </c>
      <c r="K250">
        <v>201</v>
      </c>
      <c r="L250">
        <v>163</v>
      </c>
      <c r="N250" t="s">
        <v>254</v>
      </c>
      <c r="O250">
        <v>35</v>
      </c>
      <c r="Q250">
        <v>10.440306509999999</v>
      </c>
      <c r="R250">
        <v>18</v>
      </c>
      <c r="T250">
        <f>AVERAGE(Q250,Q251,Q255,Q273,Q274,Q278)</f>
        <v>10.246794923166666</v>
      </c>
      <c r="U250">
        <f>AVERAGE(R250,R251,R255,R273,R274,R278)</f>
        <v>19.388926928333333</v>
      </c>
    </row>
    <row r="251" spans="1:21" x14ac:dyDescent="0.35">
      <c r="A251" t="s">
        <v>255</v>
      </c>
      <c r="B251">
        <v>178</v>
      </c>
      <c r="C251">
        <v>147</v>
      </c>
      <c r="D251">
        <v>13</v>
      </c>
      <c r="E251">
        <v>6</v>
      </c>
      <c r="F251">
        <v>14.31782106</v>
      </c>
      <c r="J251" t="s">
        <v>255</v>
      </c>
      <c r="K251">
        <v>189</v>
      </c>
      <c r="L251">
        <v>149</v>
      </c>
      <c r="N251" t="s">
        <v>255</v>
      </c>
      <c r="O251">
        <v>36</v>
      </c>
      <c r="Q251">
        <v>11.180339890000001</v>
      </c>
      <c r="R251">
        <v>21.68217894</v>
      </c>
      <c r="T251">
        <f>AVERAGE(Q251,Q255,Q274,Q278)</f>
        <v>9.9096771947499995</v>
      </c>
      <c r="U251">
        <f>AVERAGE(R251,R255,R274,R278)</f>
        <v>19.634553024999999</v>
      </c>
    </row>
    <row r="252" spans="1:21" hidden="1" x14ac:dyDescent="0.35">
      <c r="A252" t="s">
        <v>256</v>
      </c>
      <c r="B252">
        <v>160</v>
      </c>
      <c r="C252">
        <v>153</v>
      </c>
      <c r="D252">
        <v>15</v>
      </c>
      <c r="E252">
        <v>7</v>
      </c>
      <c r="F252">
        <v>16.552945359999999</v>
      </c>
      <c r="J252" t="s">
        <v>256</v>
      </c>
      <c r="K252">
        <v>74</v>
      </c>
      <c r="L252">
        <v>129</v>
      </c>
      <c r="N252" t="s">
        <v>256</v>
      </c>
      <c r="O252">
        <v>22</v>
      </c>
      <c r="Q252">
        <v>89.286057139999997</v>
      </c>
      <c r="R252">
        <v>5.4470546400000002</v>
      </c>
    </row>
    <row r="253" spans="1:21" hidden="1" x14ac:dyDescent="0.35">
      <c r="A253" t="s">
        <v>257</v>
      </c>
      <c r="B253">
        <v>148</v>
      </c>
      <c r="C253">
        <v>153</v>
      </c>
      <c r="D253">
        <v>14</v>
      </c>
      <c r="E253">
        <v>13</v>
      </c>
      <c r="F253">
        <v>19.104973170000001</v>
      </c>
      <c r="J253" t="s">
        <v>257</v>
      </c>
      <c r="K253">
        <v>282</v>
      </c>
      <c r="L253">
        <v>89</v>
      </c>
      <c r="N253" t="s">
        <v>257</v>
      </c>
      <c r="O253">
        <v>42</v>
      </c>
      <c r="Q253">
        <v>148.49915820000001</v>
      </c>
      <c r="R253">
        <v>22.895026829999999</v>
      </c>
    </row>
    <row r="254" spans="1:21" hidden="1" x14ac:dyDescent="0.35">
      <c r="A254" t="s">
        <v>258</v>
      </c>
      <c r="B254">
        <v>183</v>
      </c>
      <c r="C254">
        <v>168</v>
      </c>
      <c r="D254">
        <v>17</v>
      </c>
      <c r="E254">
        <v>6</v>
      </c>
      <c r="F254">
        <v>18.02775638</v>
      </c>
      <c r="J254" t="s">
        <v>258</v>
      </c>
      <c r="K254">
        <v>95</v>
      </c>
      <c r="L254">
        <v>165</v>
      </c>
      <c r="N254" t="s">
        <v>258</v>
      </c>
      <c r="O254">
        <v>34</v>
      </c>
      <c r="Q254">
        <v>88.051121510000002</v>
      </c>
      <c r="R254">
        <v>15.97224362</v>
      </c>
    </row>
    <row r="255" spans="1:21" x14ac:dyDescent="0.35">
      <c r="A255" t="s">
        <v>259</v>
      </c>
      <c r="B255">
        <v>177</v>
      </c>
      <c r="C255">
        <v>154</v>
      </c>
      <c r="D255">
        <v>12</v>
      </c>
      <c r="E255">
        <v>11</v>
      </c>
      <c r="F255">
        <v>16.2788206</v>
      </c>
      <c r="J255" t="s">
        <v>259</v>
      </c>
      <c r="K255">
        <v>183</v>
      </c>
      <c r="L255">
        <v>160</v>
      </c>
      <c r="N255" t="s">
        <v>259</v>
      </c>
      <c r="O255">
        <v>33</v>
      </c>
      <c r="Q255">
        <v>8.4852813739999995</v>
      </c>
      <c r="R255">
        <v>16.7211794</v>
      </c>
      <c r="T255">
        <f>AVERAGE(Q250,Q273)</f>
        <v>10.921030379999999</v>
      </c>
      <c r="U255">
        <f>AVERAGE(R250,R273)</f>
        <v>18.897674735000002</v>
      </c>
    </row>
    <row r="256" spans="1:21" hidden="1" x14ac:dyDescent="0.35">
      <c r="A256" t="s">
        <v>260</v>
      </c>
      <c r="B256">
        <v>170</v>
      </c>
      <c r="C256">
        <v>155</v>
      </c>
      <c r="D256">
        <v>17</v>
      </c>
      <c r="E256">
        <v>10</v>
      </c>
      <c r="F256">
        <v>19.72308292</v>
      </c>
      <c r="J256" t="s">
        <v>260</v>
      </c>
      <c r="K256">
        <v>263</v>
      </c>
      <c r="L256">
        <v>174</v>
      </c>
      <c r="N256" t="s">
        <v>260</v>
      </c>
      <c r="O256">
        <v>16</v>
      </c>
      <c r="Q256">
        <v>94.921019799999996</v>
      </c>
      <c r="R256">
        <v>3.72308292</v>
      </c>
    </row>
    <row r="257" spans="1:18" hidden="1" x14ac:dyDescent="0.35">
      <c r="A257" t="s">
        <v>261</v>
      </c>
      <c r="B257">
        <v>144</v>
      </c>
      <c r="C257">
        <v>148</v>
      </c>
      <c r="D257">
        <v>16</v>
      </c>
      <c r="E257">
        <v>8</v>
      </c>
      <c r="F257">
        <v>17.888543819999999</v>
      </c>
      <c r="J257" t="s">
        <v>261</v>
      </c>
      <c r="K257">
        <v>238</v>
      </c>
      <c r="L257">
        <v>166</v>
      </c>
      <c r="N257" t="s">
        <v>261</v>
      </c>
      <c r="O257">
        <v>14</v>
      </c>
      <c r="Q257">
        <v>95.707888909999994</v>
      </c>
      <c r="R257">
        <v>3.8885438200000002</v>
      </c>
    </row>
    <row r="258" spans="1:18" hidden="1" x14ac:dyDescent="0.35">
      <c r="A258" t="s">
        <v>262</v>
      </c>
      <c r="B258">
        <v>198</v>
      </c>
      <c r="C258">
        <v>159</v>
      </c>
      <c r="D258">
        <v>15</v>
      </c>
      <c r="E258">
        <v>7</v>
      </c>
      <c r="F258">
        <v>16.552945359999999</v>
      </c>
      <c r="J258" t="s">
        <v>262</v>
      </c>
      <c r="K258">
        <v>291</v>
      </c>
      <c r="L258">
        <v>174</v>
      </c>
      <c r="N258" t="s">
        <v>262</v>
      </c>
      <c r="O258">
        <v>16</v>
      </c>
      <c r="Q258">
        <v>94.201910810000001</v>
      </c>
      <c r="R258">
        <v>0.55294536000000005</v>
      </c>
    </row>
    <row r="259" spans="1:18" hidden="1" x14ac:dyDescent="0.35">
      <c r="A259" t="s">
        <v>263</v>
      </c>
      <c r="B259">
        <v>162</v>
      </c>
      <c r="C259">
        <v>140</v>
      </c>
      <c r="D259">
        <v>11</v>
      </c>
      <c r="E259">
        <v>12</v>
      </c>
      <c r="F259">
        <v>16.2788206</v>
      </c>
      <c r="J259" t="s">
        <v>263</v>
      </c>
      <c r="K259">
        <v>251</v>
      </c>
      <c r="L259">
        <v>152</v>
      </c>
      <c r="N259" t="s">
        <v>263</v>
      </c>
      <c r="O259">
        <v>22</v>
      </c>
      <c r="Q259">
        <v>89.80534505</v>
      </c>
      <c r="R259">
        <v>5.7211793999999996</v>
      </c>
    </row>
    <row r="260" spans="1:18" hidden="1" x14ac:dyDescent="0.35">
      <c r="A260" t="s">
        <v>264</v>
      </c>
      <c r="B260">
        <v>181</v>
      </c>
      <c r="C260">
        <v>176</v>
      </c>
      <c r="D260">
        <v>11</v>
      </c>
      <c r="E260">
        <v>7</v>
      </c>
      <c r="F260">
        <v>13.038404809999999</v>
      </c>
      <c r="J260" t="s">
        <v>264</v>
      </c>
      <c r="K260">
        <v>272</v>
      </c>
      <c r="L260">
        <v>192</v>
      </c>
      <c r="N260" t="s">
        <v>264</v>
      </c>
      <c r="O260">
        <v>15</v>
      </c>
      <c r="Q260">
        <v>92.395887349999995</v>
      </c>
      <c r="R260">
        <v>1.9615951899999999</v>
      </c>
    </row>
    <row r="261" spans="1:18" hidden="1" x14ac:dyDescent="0.35">
      <c r="A261" t="s">
        <v>265</v>
      </c>
      <c r="B261">
        <v>160</v>
      </c>
      <c r="C261">
        <v>145</v>
      </c>
      <c r="D261">
        <v>16</v>
      </c>
      <c r="E261">
        <v>8</v>
      </c>
      <c r="F261">
        <v>17.888543819999999</v>
      </c>
      <c r="J261" t="s">
        <v>265</v>
      </c>
      <c r="K261">
        <v>241</v>
      </c>
      <c r="L261">
        <v>158</v>
      </c>
      <c r="N261" t="s">
        <v>265</v>
      </c>
      <c r="O261">
        <v>21</v>
      </c>
      <c r="Q261">
        <v>82.036577210000004</v>
      </c>
      <c r="R261">
        <v>3.1114561799999998</v>
      </c>
    </row>
    <row r="262" spans="1:18" hidden="1" x14ac:dyDescent="0.35">
      <c r="A262" t="s">
        <v>266</v>
      </c>
      <c r="B262">
        <v>194</v>
      </c>
      <c r="C262">
        <v>173</v>
      </c>
      <c r="D262">
        <v>13</v>
      </c>
      <c r="E262">
        <v>13</v>
      </c>
      <c r="F262">
        <v>18.384776309999999</v>
      </c>
      <c r="J262" t="s">
        <v>266</v>
      </c>
      <c r="K262">
        <v>275</v>
      </c>
      <c r="L262">
        <v>192</v>
      </c>
      <c r="N262" t="s">
        <v>266</v>
      </c>
      <c r="O262">
        <v>14</v>
      </c>
      <c r="Q262">
        <v>83.198557679999993</v>
      </c>
      <c r="R262">
        <v>4.3847763100000003</v>
      </c>
    </row>
    <row r="263" spans="1:18" hidden="1" x14ac:dyDescent="0.35">
      <c r="A263" t="s">
        <v>267</v>
      </c>
      <c r="B263">
        <v>194</v>
      </c>
      <c r="C263">
        <v>145</v>
      </c>
      <c r="D263">
        <v>20</v>
      </c>
      <c r="E263">
        <v>8</v>
      </c>
      <c r="F263">
        <v>21.540659229999999</v>
      </c>
      <c r="J263" t="s">
        <v>267</v>
      </c>
      <c r="K263">
        <v>269</v>
      </c>
      <c r="L263">
        <v>159</v>
      </c>
      <c r="N263" t="s">
        <v>267</v>
      </c>
      <c r="O263">
        <v>12</v>
      </c>
      <c r="Q263">
        <v>76.295478239999994</v>
      </c>
      <c r="R263">
        <v>9.5406592299999993</v>
      </c>
    </row>
    <row r="264" spans="1:18" hidden="1" x14ac:dyDescent="0.35">
      <c r="A264" t="s">
        <v>268</v>
      </c>
      <c r="B264">
        <v>216</v>
      </c>
      <c r="C264">
        <v>179</v>
      </c>
      <c r="D264">
        <v>14</v>
      </c>
      <c r="E264">
        <v>10</v>
      </c>
      <c r="F264">
        <v>17.204650529999999</v>
      </c>
      <c r="J264" t="s">
        <v>268</v>
      </c>
      <c r="K264">
        <v>293</v>
      </c>
      <c r="L264">
        <v>193</v>
      </c>
      <c r="N264" t="s">
        <v>268</v>
      </c>
      <c r="O264">
        <v>13</v>
      </c>
      <c r="Q264">
        <v>78.262379210000006</v>
      </c>
      <c r="R264">
        <v>4.2046505300000003</v>
      </c>
    </row>
    <row r="265" spans="1:18" hidden="1" x14ac:dyDescent="0.35">
      <c r="A265" t="s">
        <v>269</v>
      </c>
      <c r="B265">
        <v>195</v>
      </c>
      <c r="C265">
        <v>150</v>
      </c>
      <c r="D265">
        <v>7</v>
      </c>
      <c r="E265">
        <v>13</v>
      </c>
      <c r="F265">
        <v>14.764823059999999</v>
      </c>
      <c r="J265" t="s">
        <v>269</v>
      </c>
      <c r="K265">
        <v>306</v>
      </c>
      <c r="L265">
        <v>89</v>
      </c>
      <c r="N265" t="s">
        <v>269</v>
      </c>
      <c r="O265">
        <v>47</v>
      </c>
      <c r="Q265">
        <v>126.6570172</v>
      </c>
      <c r="R265">
        <v>32.235176940000002</v>
      </c>
    </row>
    <row r="266" spans="1:18" hidden="1" x14ac:dyDescent="0.35">
      <c r="A266" t="s">
        <v>270</v>
      </c>
      <c r="B266">
        <v>159</v>
      </c>
      <c r="C266">
        <v>155</v>
      </c>
      <c r="D266">
        <v>14</v>
      </c>
      <c r="E266">
        <v>8</v>
      </c>
      <c r="F266">
        <v>16.124515500000001</v>
      </c>
      <c r="J266" t="s">
        <v>270</v>
      </c>
      <c r="K266">
        <v>273</v>
      </c>
      <c r="L266">
        <v>87</v>
      </c>
      <c r="N266" t="s">
        <v>270</v>
      </c>
      <c r="O266">
        <v>44</v>
      </c>
      <c r="Q266">
        <v>132.74034800000001</v>
      </c>
      <c r="R266">
        <v>27.875484499999999</v>
      </c>
    </row>
    <row r="267" spans="1:18" hidden="1" x14ac:dyDescent="0.35">
      <c r="A267" t="s">
        <v>271</v>
      </c>
      <c r="B267">
        <v>169</v>
      </c>
      <c r="C267">
        <v>195</v>
      </c>
      <c r="D267">
        <v>10</v>
      </c>
      <c r="E267">
        <v>14</v>
      </c>
      <c r="F267">
        <v>17.204650529999999</v>
      </c>
      <c r="J267" t="s">
        <v>271</v>
      </c>
      <c r="K267">
        <v>259</v>
      </c>
      <c r="L267">
        <v>210</v>
      </c>
      <c r="N267" t="s">
        <v>271</v>
      </c>
      <c r="O267">
        <v>18</v>
      </c>
      <c r="Q267">
        <v>91.241437950000005</v>
      </c>
      <c r="R267">
        <v>0.79534947</v>
      </c>
    </row>
    <row r="268" spans="1:18" hidden="1" x14ac:dyDescent="0.35">
      <c r="A268" t="s">
        <v>272</v>
      </c>
      <c r="B268">
        <v>165</v>
      </c>
      <c r="C268">
        <v>165</v>
      </c>
      <c r="D268">
        <v>11</v>
      </c>
      <c r="E268">
        <v>7</v>
      </c>
      <c r="F268">
        <v>13.038404809999999</v>
      </c>
      <c r="J268" t="s">
        <v>272</v>
      </c>
      <c r="K268">
        <v>293</v>
      </c>
      <c r="L268">
        <v>93</v>
      </c>
      <c r="N268" t="s">
        <v>272</v>
      </c>
      <c r="O268">
        <v>41</v>
      </c>
      <c r="Q268">
        <v>146.860478</v>
      </c>
      <c r="R268">
        <v>27.961595190000001</v>
      </c>
    </row>
    <row r="269" spans="1:18" hidden="1" x14ac:dyDescent="0.35">
      <c r="A269" t="s">
        <v>273</v>
      </c>
      <c r="B269">
        <v>176</v>
      </c>
      <c r="C269">
        <v>144</v>
      </c>
      <c r="D269">
        <v>19</v>
      </c>
      <c r="E269">
        <v>10</v>
      </c>
      <c r="F269">
        <v>21.470910549999999</v>
      </c>
      <c r="J269" t="s">
        <v>273</v>
      </c>
      <c r="K269">
        <v>75</v>
      </c>
      <c r="L269">
        <v>135</v>
      </c>
      <c r="N269" t="s">
        <v>273</v>
      </c>
      <c r="O269">
        <v>17</v>
      </c>
      <c r="Q269">
        <v>101.40019719999999</v>
      </c>
      <c r="R269">
        <v>4.4709105500000001</v>
      </c>
    </row>
    <row r="270" spans="1:18" hidden="1" x14ac:dyDescent="0.35">
      <c r="A270" t="s">
        <v>274</v>
      </c>
      <c r="B270">
        <v>153</v>
      </c>
      <c r="C270">
        <v>136</v>
      </c>
      <c r="D270">
        <v>14</v>
      </c>
      <c r="E270">
        <v>4</v>
      </c>
      <c r="F270">
        <v>14.560219780000001</v>
      </c>
      <c r="J270" t="s">
        <v>274</v>
      </c>
      <c r="K270">
        <v>213</v>
      </c>
      <c r="L270">
        <v>128</v>
      </c>
      <c r="N270" t="s">
        <v>274</v>
      </c>
      <c r="O270">
        <v>13</v>
      </c>
      <c r="Q270">
        <v>60.530983800000001</v>
      </c>
      <c r="R270">
        <v>1.5602197799999999</v>
      </c>
    </row>
    <row r="271" spans="1:18" hidden="1" x14ac:dyDescent="0.35">
      <c r="A271" t="s">
        <v>275</v>
      </c>
      <c r="B271">
        <v>223</v>
      </c>
      <c r="C271">
        <v>185</v>
      </c>
      <c r="D271">
        <v>16</v>
      </c>
      <c r="E271">
        <v>10</v>
      </c>
      <c r="F271">
        <v>18.867962259999999</v>
      </c>
      <c r="J271" t="s">
        <v>275</v>
      </c>
      <c r="K271">
        <v>99</v>
      </c>
      <c r="L271">
        <v>155</v>
      </c>
      <c r="N271" t="s">
        <v>275</v>
      </c>
      <c r="O271">
        <v>19</v>
      </c>
      <c r="Q271">
        <v>127.5774275</v>
      </c>
      <c r="R271">
        <v>0.13203773999999999</v>
      </c>
    </row>
    <row r="272" spans="1:18" hidden="1" x14ac:dyDescent="0.35">
      <c r="A272" t="s">
        <v>276</v>
      </c>
      <c r="B272">
        <v>186</v>
      </c>
      <c r="C272">
        <v>177</v>
      </c>
      <c r="D272">
        <v>14</v>
      </c>
      <c r="E272">
        <v>11</v>
      </c>
      <c r="F272">
        <v>17.80449381</v>
      </c>
      <c r="J272" t="s">
        <v>276</v>
      </c>
      <c r="K272">
        <v>288</v>
      </c>
      <c r="L272">
        <v>99</v>
      </c>
      <c r="N272" t="s">
        <v>276</v>
      </c>
      <c r="O272">
        <v>37</v>
      </c>
      <c r="Q272">
        <v>128.40560740000001</v>
      </c>
      <c r="R272">
        <v>19.19550619</v>
      </c>
    </row>
    <row r="273" spans="1:18" x14ac:dyDescent="0.35">
      <c r="A273" t="s">
        <v>277</v>
      </c>
      <c r="B273">
        <v>183</v>
      </c>
      <c r="C273">
        <v>163</v>
      </c>
      <c r="D273">
        <v>14</v>
      </c>
      <c r="E273">
        <v>10</v>
      </c>
      <c r="F273">
        <v>17.204650529999999</v>
      </c>
      <c r="J273" t="s">
        <v>277</v>
      </c>
      <c r="K273">
        <v>172</v>
      </c>
      <c r="L273">
        <v>160</v>
      </c>
      <c r="N273" t="s">
        <v>277</v>
      </c>
      <c r="O273">
        <v>37</v>
      </c>
      <c r="Q273">
        <v>11.40175425</v>
      </c>
      <c r="R273">
        <v>19.795349470000001</v>
      </c>
    </row>
    <row r="274" spans="1:18" x14ac:dyDescent="0.35">
      <c r="A274" t="s">
        <v>278</v>
      </c>
      <c r="B274">
        <v>206</v>
      </c>
      <c r="C274">
        <v>164</v>
      </c>
      <c r="D274">
        <v>11</v>
      </c>
      <c r="E274">
        <v>9</v>
      </c>
      <c r="F274">
        <v>14.2126704</v>
      </c>
      <c r="J274" t="s">
        <v>278</v>
      </c>
      <c r="K274">
        <v>220</v>
      </c>
      <c r="L274">
        <v>162</v>
      </c>
      <c r="N274" t="s">
        <v>278</v>
      </c>
      <c r="O274">
        <v>37</v>
      </c>
      <c r="Q274">
        <v>14.142135619999999</v>
      </c>
      <c r="R274">
        <v>22.7873296</v>
      </c>
    </row>
    <row r="275" spans="1:18" hidden="1" x14ac:dyDescent="0.35">
      <c r="A275" t="s">
        <v>279</v>
      </c>
      <c r="B275">
        <v>150</v>
      </c>
      <c r="C275">
        <v>179</v>
      </c>
      <c r="D275">
        <v>14</v>
      </c>
      <c r="E275">
        <v>12</v>
      </c>
      <c r="F275">
        <v>18.439088909999999</v>
      </c>
      <c r="J275" t="s">
        <v>279</v>
      </c>
      <c r="K275">
        <v>236</v>
      </c>
      <c r="L275">
        <v>200</v>
      </c>
      <c r="N275" t="s">
        <v>279</v>
      </c>
      <c r="O275">
        <v>28</v>
      </c>
      <c r="Q275">
        <v>88.526832089999999</v>
      </c>
      <c r="R275">
        <v>9.5609110899999994</v>
      </c>
    </row>
    <row r="276" spans="1:18" hidden="1" x14ac:dyDescent="0.35">
      <c r="A276" t="s">
        <v>280</v>
      </c>
      <c r="B276">
        <v>144</v>
      </c>
      <c r="C276">
        <v>144</v>
      </c>
      <c r="D276">
        <v>15</v>
      </c>
      <c r="E276">
        <v>9</v>
      </c>
      <c r="F276">
        <v>17.492855680000002</v>
      </c>
      <c r="J276" t="s">
        <v>280</v>
      </c>
      <c r="K276">
        <v>282</v>
      </c>
      <c r="L276">
        <v>69</v>
      </c>
      <c r="N276" t="s">
        <v>280</v>
      </c>
      <c r="O276">
        <v>42</v>
      </c>
      <c r="Q276">
        <v>157.06368140000001</v>
      </c>
      <c r="R276">
        <v>24.507144319999998</v>
      </c>
    </row>
    <row r="277" spans="1:18" hidden="1" x14ac:dyDescent="0.35">
      <c r="A277" t="s">
        <v>281</v>
      </c>
      <c r="B277">
        <v>184</v>
      </c>
      <c r="C277">
        <v>163</v>
      </c>
      <c r="D277">
        <v>15</v>
      </c>
      <c r="E277">
        <v>9</v>
      </c>
      <c r="F277">
        <v>17.492855680000002</v>
      </c>
      <c r="J277" t="s">
        <v>281</v>
      </c>
      <c r="K277">
        <v>356</v>
      </c>
      <c r="L277">
        <v>230</v>
      </c>
      <c r="N277" t="s">
        <v>281</v>
      </c>
      <c r="O277">
        <v>16</v>
      </c>
      <c r="Q277">
        <v>184.58873209999999</v>
      </c>
      <c r="R277">
        <v>1.4928556799999999</v>
      </c>
    </row>
    <row r="278" spans="1:18" x14ac:dyDescent="0.35">
      <c r="A278" t="s">
        <v>282</v>
      </c>
      <c r="B278">
        <v>151</v>
      </c>
      <c r="C278">
        <v>144</v>
      </c>
      <c r="D278">
        <v>14</v>
      </c>
      <c r="E278">
        <v>7</v>
      </c>
      <c r="F278">
        <v>15.652475839999999</v>
      </c>
      <c r="J278" t="s">
        <v>282</v>
      </c>
      <c r="K278">
        <v>156</v>
      </c>
      <c r="L278">
        <v>147</v>
      </c>
      <c r="N278" t="s">
        <v>282</v>
      </c>
      <c r="O278">
        <v>33</v>
      </c>
      <c r="Q278">
        <v>5.8309518950000001</v>
      </c>
      <c r="R278">
        <v>17.347524159999999</v>
      </c>
    </row>
    <row r="279" spans="1:18" hidden="1" x14ac:dyDescent="0.35">
      <c r="A279" t="s">
        <v>283</v>
      </c>
      <c r="B279">
        <v>210</v>
      </c>
      <c r="C279">
        <v>157</v>
      </c>
      <c r="D279">
        <v>11</v>
      </c>
      <c r="E279">
        <v>6</v>
      </c>
      <c r="F279">
        <v>12.52996409</v>
      </c>
      <c r="J279" t="s">
        <v>283</v>
      </c>
      <c r="K279">
        <v>334</v>
      </c>
      <c r="L279">
        <v>155</v>
      </c>
      <c r="N279" t="s">
        <v>283</v>
      </c>
      <c r="O279">
        <v>26</v>
      </c>
      <c r="Q279">
        <v>124.01612799999999</v>
      </c>
      <c r="R279">
        <v>13.47003591</v>
      </c>
    </row>
    <row r="280" spans="1:18" hidden="1" x14ac:dyDescent="0.35">
      <c r="A280" t="s">
        <v>284</v>
      </c>
      <c r="B280">
        <v>213</v>
      </c>
      <c r="C280">
        <v>162</v>
      </c>
      <c r="D280">
        <v>18</v>
      </c>
      <c r="E280">
        <v>9</v>
      </c>
      <c r="F280">
        <v>20.1246118</v>
      </c>
      <c r="J280" t="s">
        <v>284</v>
      </c>
      <c r="K280">
        <v>229</v>
      </c>
      <c r="L280">
        <v>138</v>
      </c>
      <c r="N280" t="s">
        <v>284</v>
      </c>
      <c r="O280">
        <v>21</v>
      </c>
      <c r="Q280">
        <v>28.844410199999999</v>
      </c>
      <c r="R280">
        <v>0.87538819999999995</v>
      </c>
    </row>
    <row r="281" spans="1:18" hidden="1" x14ac:dyDescent="0.35">
      <c r="A281" t="s">
        <v>285</v>
      </c>
      <c r="B281">
        <v>246</v>
      </c>
      <c r="C281">
        <v>188</v>
      </c>
      <c r="D281">
        <v>13</v>
      </c>
      <c r="E281">
        <v>8</v>
      </c>
      <c r="F281">
        <v>15.26433752</v>
      </c>
      <c r="J281" t="s">
        <v>285</v>
      </c>
      <c r="K281">
        <v>168</v>
      </c>
      <c r="L281">
        <v>60</v>
      </c>
      <c r="N281" t="s">
        <v>285</v>
      </c>
      <c r="O281">
        <v>47</v>
      </c>
      <c r="Q281">
        <v>149.8932954</v>
      </c>
      <c r="R281">
        <v>31.735662479999998</v>
      </c>
    </row>
    <row r="282" spans="1:18" hidden="1" x14ac:dyDescent="0.35">
      <c r="A282" t="s">
        <v>286</v>
      </c>
      <c r="B282">
        <v>172</v>
      </c>
      <c r="C282">
        <v>195</v>
      </c>
      <c r="D282">
        <v>14</v>
      </c>
      <c r="E282">
        <v>9</v>
      </c>
      <c r="F282">
        <v>16.643316980000002</v>
      </c>
      <c r="J282" t="s">
        <v>286</v>
      </c>
      <c r="K282">
        <v>305</v>
      </c>
      <c r="L282">
        <v>227</v>
      </c>
      <c r="N282" t="s">
        <v>286</v>
      </c>
      <c r="O282">
        <v>24</v>
      </c>
      <c r="Q282">
        <v>136.79546780000001</v>
      </c>
      <c r="R282">
        <v>7.3566830200000002</v>
      </c>
    </row>
    <row r="283" spans="1:18" hidden="1" x14ac:dyDescent="0.35">
      <c r="A283" t="s">
        <v>287</v>
      </c>
      <c r="B283">
        <v>235</v>
      </c>
      <c r="C283">
        <v>172</v>
      </c>
      <c r="D283">
        <v>14</v>
      </c>
      <c r="E283">
        <v>8</v>
      </c>
      <c r="F283">
        <v>16.124515500000001</v>
      </c>
      <c r="J283" t="s">
        <v>287</v>
      </c>
      <c r="K283">
        <v>119</v>
      </c>
      <c r="L283">
        <v>186</v>
      </c>
      <c r="N283" t="s">
        <v>287</v>
      </c>
      <c r="O283">
        <v>20</v>
      </c>
      <c r="Q283">
        <v>116.84177339999999</v>
      </c>
      <c r="R283">
        <v>3.8754845000000002</v>
      </c>
    </row>
    <row r="284" spans="1:18" hidden="1" x14ac:dyDescent="0.35">
      <c r="A284" t="s">
        <v>288</v>
      </c>
      <c r="B284">
        <v>165</v>
      </c>
      <c r="C284">
        <v>159</v>
      </c>
      <c r="D284">
        <v>12</v>
      </c>
      <c r="E284">
        <v>5</v>
      </c>
      <c r="F284">
        <v>13</v>
      </c>
      <c r="J284" t="s">
        <v>288</v>
      </c>
      <c r="K284">
        <v>108</v>
      </c>
      <c r="L284">
        <v>179</v>
      </c>
      <c r="N284" t="s">
        <v>288</v>
      </c>
      <c r="O284">
        <v>66</v>
      </c>
      <c r="Q284">
        <v>60.40695324</v>
      </c>
      <c r="R284">
        <v>53</v>
      </c>
    </row>
    <row r="285" spans="1:18" hidden="1" x14ac:dyDescent="0.35">
      <c r="A285" t="s">
        <v>289</v>
      </c>
      <c r="B285">
        <v>178</v>
      </c>
      <c r="C285">
        <v>164</v>
      </c>
      <c r="D285">
        <v>14</v>
      </c>
      <c r="E285">
        <v>9</v>
      </c>
      <c r="F285">
        <v>16.643316980000002</v>
      </c>
      <c r="J285" t="s">
        <v>289</v>
      </c>
      <c r="K285">
        <v>372</v>
      </c>
      <c r="L285">
        <v>98</v>
      </c>
      <c r="N285" t="s">
        <v>289</v>
      </c>
      <c r="O285">
        <v>34</v>
      </c>
      <c r="Q285">
        <v>204.91949640000001</v>
      </c>
      <c r="R285">
        <v>17.356683019999998</v>
      </c>
    </row>
    <row r="286" spans="1:18" hidden="1" x14ac:dyDescent="0.35">
      <c r="A286" t="s">
        <v>290</v>
      </c>
      <c r="B286">
        <v>159</v>
      </c>
      <c r="C286">
        <v>190</v>
      </c>
      <c r="D286">
        <v>12</v>
      </c>
      <c r="E286">
        <v>6</v>
      </c>
      <c r="F286">
        <v>13.41640786</v>
      </c>
      <c r="J286" t="s">
        <v>290</v>
      </c>
      <c r="K286">
        <v>107</v>
      </c>
      <c r="L286">
        <v>199</v>
      </c>
      <c r="N286" t="s">
        <v>290</v>
      </c>
      <c r="O286">
        <v>59</v>
      </c>
      <c r="Q286">
        <v>52.773099209999998</v>
      </c>
      <c r="R286">
        <v>45.58359214</v>
      </c>
    </row>
    <row r="287" spans="1:18" hidden="1" x14ac:dyDescent="0.35">
      <c r="A287" t="s">
        <v>291</v>
      </c>
      <c r="B287">
        <v>189</v>
      </c>
      <c r="C287">
        <v>182</v>
      </c>
      <c r="D287">
        <v>19</v>
      </c>
      <c r="E287">
        <v>5</v>
      </c>
      <c r="F287">
        <v>19.646882699999999</v>
      </c>
      <c r="J287" t="s">
        <v>291</v>
      </c>
      <c r="K287">
        <v>468</v>
      </c>
      <c r="L287">
        <v>26</v>
      </c>
      <c r="N287" t="s">
        <v>291</v>
      </c>
      <c r="O287">
        <v>33</v>
      </c>
      <c r="Q287">
        <v>319.6513726</v>
      </c>
      <c r="R287">
        <v>13.353117299999999</v>
      </c>
    </row>
    <row r="288" spans="1:18" hidden="1" x14ac:dyDescent="0.35">
      <c r="A288" t="s">
        <v>292</v>
      </c>
      <c r="B288">
        <v>185</v>
      </c>
      <c r="C288">
        <v>177</v>
      </c>
      <c r="D288">
        <v>15</v>
      </c>
      <c r="E288">
        <v>9</v>
      </c>
      <c r="F288">
        <v>17.492855680000002</v>
      </c>
      <c r="J288" t="s">
        <v>292</v>
      </c>
      <c r="K288">
        <v>106</v>
      </c>
      <c r="L288">
        <v>184</v>
      </c>
      <c r="N288" t="s">
        <v>292</v>
      </c>
      <c r="O288">
        <v>60</v>
      </c>
      <c r="Q288">
        <v>79.309520239999998</v>
      </c>
      <c r="R288">
        <v>42.507144320000002</v>
      </c>
    </row>
    <row r="289" spans="1:21" hidden="1" x14ac:dyDescent="0.35">
      <c r="A289" t="s">
        <v>293</v>
      </c>
      <c r="B289">
        <v>196</v>
      </c>
      <c r="C289">
        <v>159</v>
      </c>
      <c r="D289">
        <v>21</v>
      </c>
      <c r="E289">
        <v>9</v>
      </c>
      <c r="F289">
        <v>22.84731932</v>
      </c>
      <c r="J289" t="s">
        <v>293</v>
      </c>
      <c r="K289">
        <v>374</v>
      </c>
      <c r="L289">
        <v>93</v>
      </c>
      <c r="N289" t="s">
        <v>293</v>
      </c>
      <c r="O289">
        <v>36</v>
      </c>
      <c r="Q289">
        <v>189.84203959999999</v>
      </c>
      <c r="R289">
        <v>13.15268068</v>
      </c>
    </row>
    <row r="290" spans="1:21" hidden="1" x14ac:dyDescent="0.35">
      <c r="A290" t="s">
        <v>294</v>
      </c>
      <c r="B290">
        <v>204</v>
      </c>
      <c r="C290">
        <v>184</v>
      </c>
      <c r="D290">
        <v>12</v>
      </c>
      <c r="E290">
        <v>7</v>
      </c>
      <c r="F290">
        <v>13.89244399</v>
      </c>
      <c r="J290" t="s">
        <v>294</v>
      </c>
      <c r="K290">
        <v>256</v>
      </c>
      <c r="L290">
        <v>149</v>
      </c>
      <c r="N290" t="s">
        <v>294</v>
      </c>
      <c r="O290">
        <v>28</v>
      </c>
      <c r="Q290">
        <v>62.681735779999997</v>
      </c>
      <c r="R290">
        <v>14.10755601</v>
      </c>
    </row>
    <row r="291" spans="1:21" hidden="1" x14ac:dyDescent="0.35">
      <c r="A291" t="s">
        <v>295</v>
      </c>
      <c r="B291">
        <v>181</v>
      </c>
      <c r="C291">
        <v>177</v>
      </c>
      <c r="D291">
        <v>15</v>
      </c>
      <c r="E291">
        <v>7</v>
      </c>
      <c r="F291">
        <v>16.552945359999999</v>
      </c>
      <c r="J291" t="s">
        <v>295</v>
      </c>
      <c r="K291">
        <v>307</v>
      </c>
      <c r="L291">
        <v>159</v>
      </c>
      <c r="N291" t="s">
        <v>295</v>
      </c>
      <c r="O291">
        <v>28</v>
      </c>
      <c r="Q291">
        <v>127.2792206</v>
      </c>
      <c r="R291">
        <v>11.447054639999999</v>
      </c>
    </row>
    <row r="292" spans="1:21" hidden="1" x14ac:dyDescent="0.35">
      <c r="A292" t="s">
        <v>296</v>
      </c>
      <c r="B292">
        <v>189</v>
      </c>
      <c r="C292">
        <v>163</v>
      </c>
      <c r="D292">
        <v>20</v>
      </c>
      <c r="E292">
        <v>6</v>
      </c>
      <c r="F292">
        <v>20.880613019999998</v>
      </c>
      <c r="J292" t="s">
        <v>296</v>
      </c>
      <c r="K292">
        <v>127</v>
      </c>
      <c r="L292">
        <v>175</v>
      </c>
      <c r="N292" t="s">
        <v>296</v>
      </c>
      <c r="O292">
        <v>40</v>
      </c>
      <c r="Q292">
        <v>63.150613620000001</v>
      </c>
      <c r="R292">
        <v>19.119386980000002</v>
      </c>
    </row>
    <row r="293" spans="1:21" x14ac:dyDescent="0.35">
      <c r="A293" t="s">
        <v>297</v>
      </c>
      <c r="B293">
        <v>228</v>
      </c>
      <c r="C293">
        <v>193</v>
      </c>
      <c r="D293">
        <v>11</v>
      </c>
      <c r="E293">
        <v>6</v>
      </c>
      <c r="F293">
        <v>12.52996409</v>
      </c>
      <c r="J293" t="s">
        <v>297</v>
      </c>
      <c r="K293">
        <v>244</v>
      </c>
      <c r="L293">
        <v>184</v>
      </c>
      <c r="N293" t="s">
        <v>297</v>
      </c>
      <c r="O293">
        <v>14</v>
      </c>
      <c r="Q293">
        <v>18.35755975</v>
      </c>
      <c r="R293">
        <v>1.47003591</v>
      </c>
      <c r="T293">
        <f>AVERAGE(Q293,Q301,Q304,Q305,Q312,Q314,Q316,Q320)</f>
        <v>12.15825210325</v>
      </c>
      <c r="U293">
        <f>AVERAGE(R293,R301,R304,R305,R312,R314,R316,R320)</f>
        <v>4.8349656637500003</v>
      </c>
    </row>
    <row r="294" spans="1:21" hidden="1" x14ac:dyDescent="0.35">
      <c r="A294" t="s">
        <v>298</v>
      </c>
      <c r="B294">
        <v>156</v>
      </c>
      <c r="C294">
        <v>195</v>
      </c>
      <c r="D294">
        <v>11</v>
      </c>
      <c r="E294">
        <v>7</v>
      </c>
      <c r="F294">
        <v>13.038404809999999</v>
      </c>
      <c r="J294" t="s">
        <v>298</v>
      </c>
      <c r="K294">
        <v>234</v>
      </c>
      <c r="L294">
        <v>307</v>
      </c>
      <c r="N294" t="s">
        <v>298</v>
      </c>
      <c r="O294">
        <v>30</v>
      </c>
      <c r="Q294">
        <v>136.48443130000001</v>
      </c>
      <c r="R294">
        <v>16.961595190000001</v>
      </c>
    </row>
    <row r="295" spans="1:21" hidden="1" x14ac:dyDescent="0.35">
      <c r="A295" t="s">
        <v>299</v>
      </c>
      <c r="B295">
        <v>207</v>
      </c>
      <c r="C295">
        <v>208</v>
      </c>
      <c r="D295">
        <v>15</v>
      </c>
      <c r="E295">
        <v>12</v>
      </c>
      <c r="F295">
        <v>19.20937271</v>
      </c>
      <c r="J295" t="s">
        <v>299</v>
      </c>
      <c r="K295">
        <v>106</v>
      </c>
      <c r="L295">
        <v>208</v>
      </c>
      <c r="N295" t="s">
        <v>299</v>
      </c>
      <c r="O295">
        <v>31</v>
      </c>
      <c r="Q295">
        <v>101</v>
      </c>
      <c r="R295">
        <v>11.79062729</v>
      </c>
    </row>
    <row r="296" spans="1:21" hidden="1" x14ac:dyDescent="0.35">
      <c r="A296" t="s">
        <v>300</v>
      </c>
      <c r="B296">
        <v>208</v>
      </c>
      <c r="C296">
        <v>147</v>
      </c>
      <c r="D296">
        <v>16</v>
      </c>
      <c r="E296">
        <v>8</v>
      </c>
      <c r="F296">
        <v>17.888543819999999</v>
      </c>
      <c r="J296" t="s">
        <v>300</v>
      </c>
      <c r="K296">
        <v>157</v>
      </c>
      <c r="L296">
        <v>158</v>
      </c>
      <c r="N296" t="s">
        <v>300</v>
      </c>
      <c r="O296">
        <v>42</v>
      </c>
      <c r="Q296">
        <v>52.17278984</v>
      </c>
      <c r="R296">
        <v>24.111456180000001</v>
      </c>
    </row>
    <row r="297" spans="1:21" hidden="1" x14ac:dyDescent="0.35">
      <c r="A297" t="s">
        <v>301</v>
      </c>
      <c r="B297">
        <v>208</v>
      </c>
      <c r="C297">
        <v>171</v>
      </c>
      <c r="D297">
        <v>19</v>
      </c>
      <c r="E297">
        <v>11</v>
      </c>
      <c r="F297">
        <v>21.954498399999999</v>
      </c>
      <c r="J297" t="s">
        <v>301</v>
      </c>
      <c r="K297">
        <v>90</v>
      </c>
      <c r="L297">
        <v>177</v>
      </c>
      <c r="N297" t="s">
        <v>301</v>
      </c>
      <c r="O297">
        <v>14</v>
      </c>
      <c r="Q297">
        <v>118.15244389999999</v>
      </c>
      <c r="R297">
        <v>7.9544984000000003</v>
      </c>
    </row>
    <row r="298" spans="1:21" hidden="1" x14ac:dyDescent="0.35">
      <c r="A298" t="s">
        <v>302</v>
      </c>
      <c r="B298">
        <v>175</v>
      </c>
      <c r="C298">
        <v>162</v>
      </c>
      <c r="D298">
        <v>16</v>
      </c>
      <c r="E298">
        <v>9</v>
      </c>
      <c r="F298">
        <v>18.35755975</v>
      </c>
      <c r="J298" t="s">
        <v>302</v>
      </c>
      <c r="K298">
        <v>137</v>
      </c>
      <c r="L298">
        <v>178</v>
      </c>
      <c r="N298" t="s">
        <v>302</v>
      </c>
      <c r="O298">
        <v>42</v>
      </c>
      <c r="Q298">
        <v>41.231056260000003</v>
      </c>
      <c r="R298">
        <v>23.64244025</v>
      </c>
    </row>
    <row r="299" spans="1:21" hidden="1" x14ac:dyDescent="0.35">
      <c r="A299" t="s">
        <v>303</v>
      </c>
      <c r="B299">
        <v>176</v>
      </c>
      <c r="C299">
        <v>189</v>
      </c>
      <c r="D299">
        <v>13</v>
      </c>
      <c r="E299">
        <v>10</v>
      </c>
      <c r="F299">
        <v>16.401219470000001</v>
      </c>
      <c r="J299" t="s">
        <v>303</v>
      </c>
      <c r="K299">
        <v>83</v>
      </c>
      <c r="L299">
        <v>190</v>
      </c>
      <c r="N299" t="s">
        <v>303</v>
      </c>
      <c r="O299">
        <v>14</v>
      </c>
      <c r="Q299">
        <v>93.005376190000007</v>
      </c>
      <c r="R299">
        <v>2.40121947</v>
      </c>
    </row>
    <row r="300" spans="1:21" hidden="1" x14ac:dyDescent="0.35">
      <c r="A300" t="s">
        <v>304</v>
      </c>
      <c r="B300">
        <v>166</v>
      </c>
      <c r="C300">
        <v>151</v>
      </c>
      <c r="D300">
        <v>13</v>
      </c>
      <c r="E300">
        <v>8</v>
      </c>
      <c r="F300">
        <v>15.26433752</v>
      </c>
      <c r="J300" t="s">
        <v>304</v>
      </c>
      <c r="K300">
        <v>115</v>
      </c>
      <c r="L300">
        <v>147</v>
      </c>
      <c r="N300" t="s">
        <v>304</v>
      </c>
      <c r="O300">
        <v>25</v>
      </c>
      <c r="Q300">
        <v>51.156622249999998</v>
      </c>
      <c r="R300">
        <v>9.7356624800000002</v>
      </c>
    </row>
    <row r="301" spans="1:21" x14ac:dyDescent="0.35">
      <c r="A301" t="s">
        <v>305</v>
      </c>
      <c r="B301">
        <v>200</v>
      </c>
      <c r="C301">
        <v>202</v>
      </c>
      <c r="D301">
        <v>15</v>
      </c>
      <c r="E301">
        <v>11</v>
      </c>
      <c r="F301">
        <v>18.60107524</v>
      </c>
      <c r="J301" t="s">
        <v>305</v>
      </c>
      <c r="K301">
        <v>190</v>
      </c>
      <c r="L301">
        <v>210</v>
      </c>
      <c r="N301" t="s">
        <v>305</v>
      </c>
      <c r="O301">
        <v>22</v>
      </c>
      <c r="Q301">
        <v>12.80624847</v>
      </c>
      <c r="R301">
        <v>3.3989247599999999</v>
      </c>
      <c r="T301">
        <f>AVERAGE(Q293,Q301,Q305,Q312,Q314,Q316,Q320)</f>
        <v>13.491084243</v>
      </c>
      <c r="U301">
        <f>AVERAGE(R293,R301,R305,R312,R314,R316,R320)</f>
        <v>4.21301623</v>
      </c>
    </row>
    <row r="302" spans="1:21" hidden="1" x14ac:dyDescent="0.35">
      <c r="A302" t="s">
        <v>306</v>
      </c>
      <c r="B302">
        <v>214</v>
      </c>
      <c r="C302">
        <v>169</v>
      </c>
      <c r="D302">
        <v>12</v>
      </c>
      <c r="E302">
        <v>9</v>
      </c>
      <c r="F302">
        <v>15</v>
      </c>
      <c r="J302" t="s">
        <v>306</v>
      </c>
      <c r="K302">
        <v>149</v>
      </c>
      <c r="L302">
        <v>185</v>
      </c>
      <c r="N302" t="s">
        <v>306</v>
      </c>
      <c r="O302">
        <v>40</v>
      </c>
      <c r="Q302">
        <v>66.940271879999997</v>
      </c>
      <c r="R302">
        <v>25</v>
      </c>
    </row>
    <row r="303" spans="1:21" hidden="1" x14ac:dyDescent="0.35">
      <c r="A303" t="s">
        <v>307</v>
      </c>
      <c r="B303">
        <v>219</v>
      </c>
      <c r="C303">
        <v>215</v>
      </c>
      <c r="D303">
        <v>14</v>
      </c>
      <c r="E303">
        <v>6</v>
      </c>
      <c r="F303">
        <v>15.231546209999999</v>
      </c>
      <c r="J303" t="s">
        <v>307</v>
      </c>
      <c r="K303">
        <v>93</v>
      </c>
      <c r="L303">
        <v>220</v>
      </c>
      <c r="N303" t="s">
        <v>307</v>
      </c>
      <c r="O303">
        <v>15</v>
      </c>
      <c r="Q303">
        <v>126.0991673</v>
      </c>
      <c r="R303">
        <v>0.23154621</v>
      </c>
    </row>
    <row r="304" spans="1:21" x14ac:dyDescent="0.35">
      <c r="A304" t="s">
        <v>308</v>
      </c>
      <c r="B304">
        <v>169</v>
      </c>
      <c r="C304">
        <v>165</v>
      </c>
      <c r="D304">
        <v>15</v>
      </c>
      <c r="E304">
        <v>5</v>
      </c>
      <c r="F304">
        <v>15.811388300000001</v>
      </c>
      <c r="J304" t="s">
        <v>308</v>
      </c>
      <c r="K304">
        <v>167</v>
      </c>
      <c r="L304">
        <v>167</v>
      </c>
      <c r="N304" t="s">
        <v>308</v>
      </c>
      <c r="O304">
        <v>25</v>
      </c>
      <c r="Q304">
        <v>2.8284271250000002</v>
      </c>
      <c r="R304">
        <v>9.1886116999999992</v>
      </c>
    </row>
    <row r="305" spans="1:18" x14ac:dyDescent="0.35">
      <c r="A305" t="s">
        <v>309</v>
      </c>
      <c r="B305">
        <v>183</v>
      </c>
      <c r="C305">
        <v>161</v>
      </c>
      <c r="D305">
        <v>18</v>
      </c>
      <c r="E305">
        <v>6</v>
      </c>
      <c r="F305">
        <v>18.973665960000002</v>
      </c>
      <c r="J305" t="s">
        <v>309</v>
      </c>
      <c r="K305">
        <v>181</v>
      </c>
      <c r="L305">
        <v>168</v>
      </c>
      <c r="N305" t="s">
        <v>309</v>
      </c>
      <c r="O305">
        <v>17</v>
      </c>
      <c r="Q305">
        <v>7.2801098890000002</v>
      </c>
      <c r="R305">
        <v>1.9736659599999999</v>
      </c>
    </row>
    <row r="306" spans="1:18" hidden="1" x14ac:dyDescent="0.35">
      <c r="A306" t="s">
        <v>310</v>
      </c>
      <c r="B306">
        <v>179</v>
      </c>
      <c r="C306">
        <v>173</v>
      </c>
      <c r="D306">
        <v>13</v>
      </c>
      <c r="E306">
        <v>7</v>
      </c>
      <c r="F306">
        <v>14.764823059999999</v>
      </c>
      <c r="J306" t="s">
        <v>310</v>
      </c>
      <c r="K306">
        <v>221</v>
      </c>
      <c r="L306">
        <v>286</v>
      </c>
      <c r="N306" t="s">
        <v>310</v>
      </c>
      <c r="O306">
        <v>20</v>
      </c>
      <c r="Q306">
        <v>120.552893</v>
      </c>
      <c r="R306">
        <v>5.2351769399999997</v>
      </c>
    </row>
    <row r="307" spans="1:18" hidden="1" x14ac:dyDescent="0.35">
      <c r="A307" t="s">
        <v>311</v>
      </c>
      <c r="B307">
        <v>222</v>
      </c>
      <c r="C307">
        <v>217</v>
      </c>
      <c r="D307">
        <v>3</v>
      </c>
      <c r="E307">
        <v>13</v>
      </c>
      <c r="F307">
        <v>13.341664059999999</v>
      </c>
      <c r="J307" t="s">
        <v>311</v>
      </c>
      <c r="K307">
        <v>100</v>
      </c>
      <c r="L307">
        <v>186</v>
      </c>
      <c r="N307" t="s">
        <v>311</v>
      </c>
      <c r="O307">
        <v>16</v>
      </c>
      <c r="Q307">
        <v>125.876924</v>
      </c>
      <c r="R307">
        <v>2.6583359400000002</v>
      </c>
    </row>
    <row r="308" spans="1:18" hidden="1" x14ac:dyDescent="0.35">
      <c r="A308" t="s">
        <v>312</v>
      </c>
      <c r="B308">
        <v>182</v>
      </c>
      <c r="C308">
        <v>175</v>
      </c>
      <c r="D308">
        <v>15</v>
      </c>
      <c r="E308">
        <v>9</v>
      </c>
      <c r="F308">
        <v>17.492855680000002</v>
      </c>
      <c r="J308" t="s">
        <v>312</v>
      </c>
      <c r="K308">
        <v>163</v>
      </c>
      <c r="L308">
        <v>122</v>
      </c>
      <c r="N308" t="s">
        <v>312</v>
      </c>
      <c r="O308">
        <v>24</v>
      </c>
      <c r="Q308">
        <v>56.302753039999999</v>
      </c>
      <c r="R308">
        <v>6.5071443200000001</v>
      </c>
    </row>
    <row r="309" spans="1:18" hidden="1" x14ac:dyDescent="0.35">
      <c r="A309" t="s">
        <v>313</v>
      </c>
      <c r="B309">
        <v>217</v>
      </c>
      <c r="C309">
        <v>190</v>
      </c>
      <c r="D309">
        <v>15</v>
      </c>
      <c r="E309">
        <v>7</v>
      </c>
      <c r="F309">
        <v>16.552945359999999</v>
      </c>
      <c r="J309" t="s">
        <v>313</v>
      </c>
      <c r="K309">
        <v>406</v>
      </c>
      <c r="L309">
        <v>111</v>
      </c>
      <c r="N309" t="s">
        <v>313</v>
      </c>
      <c r="O309">
        <v>19</v>
      </c>
      <c r="Q309">
        <v>204.84628380000001</v>
      </c>
      <c r="R309">
        <v>2.4470546400000002</v>
      </c>
    </row>
    <row r="310" spans="1:18" hidden="1" x14ac:dyDescent="0.35">
      <c r="A310" t="s">
        <v>314</v>
      </c>
      <c r="B310">
        <v>184</v>
      </c>
      <c r="C310">
        <v>219</v>
      </c>
      <c r="D310">
        <v>12</v>
      </c>
      <c r="E310">
        <v>8</v>
      </c>
      <c r="F310">
        <v>14.422205099999999</v>
      </c>
      <c r="J310" t="s">
        <v>314</v>
      </c>
      <c r="K310">
        <v>317</v>
      </c>
      <c r="L310">
        <v>96</v>
      </c>
      <c r="N310" t="s">
        <v>314</v>
      </c>
      <c r="O310">
        <v>26</v>
      </c>
      <c r="Q310">
        <v>181.15739009999999</v>
      </c>
      <c r="R310">
        <v>11.577794900000001</v>
      </c>
    </row>
    <row r="311" spans="1:18" hidden="1" x14ac:dyDescent="0.35">
      <c r="A311" t="s">
        <v>315</v>
      </c>
      <c r="B311">
        <v>160</v>
      </c>
      <c r="C311">
        <v>165</v>
      </c>
      <c r="D311">
        <v>10</v>
      </c>
      <c r="E311">
        <v>8</v>
      </c>
      <c r="F311">
        <v>12.80624847</v>
      </c>
      <c r="J311" t="s">
        <v>315</v>
      </c>
      <c r="K311">
        <v>115</v>
      </c>
      <c r="L311">
        <v>193</v>
      </c>
      <c r="N311" t="s">
        <v>315</v>
      </c>
      <c r="O311">
        <v>32</v>
      </c>
      <c r="Q311">
        <v>53</v>
      </c>
      <c r="R311">
        <v>19.19375153</v>
      </c>
    </row>
    <row r="312" spans="1:18" x14ac:dyDescent="0.35">
      <c r="A312" t="s">
        <v>316</v>
      </c>
      <c r="B312">
        <v>210</v>
      </c>
      <c r="C312">
        <v>154</v>
      </c>
      <c r="D312">
        <v>12</v>
      </c>
      <c r="E312">
        <v>15</v>
      </c>
      <c r="F312">
        <v>19.20937271</v>
      </c>
      <c r="J312" t="s">
        <v>316</v>
      </c>
      <c r="K312">
        <v>207</v>
      </c>
      <c r="L312">
        <v>148</v>
      </c>
      <c r="N312" t="s">
        <v>316</v>
      </c>
      <c r="O312">
        <v>29</v>
      </c>
      <c r="Q312">
        <v>6.708203932</v>
      </c>
      <c r="R312">
        <v>9.7906272899999998</v>
      </c>
    </row>
    <row r="313" spans="1:18" hidden="1" x14ac:dyDescent="0.35">
      <c r="A313" t="s">
        <v>317</v>
      </c>
      <c r="B313">
        <v>175</v>
      </c>
      <c r="C313">
        <v>190</v>
      </c>
      <c r="D313">
        <v>12</v>
      </c>
      <c r="E313">
        <v>8</v>
      </c>
      <c r="F313">
        <v>14.422205099999999</v>
      </c>
      <c r="J313" t="s">
        <v>317</v>
      </c>
      <c r="K313">
        <v>103</v>
      </c>
      <c r="L313">
        <v>197</v>
      </c>
      <c r="N313" t="s">
        <v>317</v>
      </c>
      <c r="O313">
        <v>30</v>
      </c>
      <c r="Q313">
        <v>72.339477470000006</v>
      </c>
      <c r="R313">
        <v>15.577794900000001</v>
      </c>
    </row>
    <row r="314" spans="1:18" x14ac:dyDescent="0.35">
      <c r="A314" t="s">
        <v>318</v>
      </c>
      <c r="B314">
        <v>191</v>
      </c>
      <c r="C314">
        <v>209</v>
      </c>
      <c r="D314">
        <v>8</v>
      </c>
      <c r="E314">
        <v>9</v>
      </c>
      <c r="F314">
        <v>12.04159458</v>
      </c>
      <c r="J314" t="s">
        <v>318</v>
      </c>
      <c r="K314">
        <v>201</v>
      </c>
      <c r="L314">
        <v>213</v>
      </c>
      <c r="N314" t="s">
        <v>318</v>
      </c>
      <c r="O314">
        <v>18</v>
      </c>
      <c r="Q314">
        <v>10.770329609999999</v>
      </c>
      <c r="R314">
        <v>5.9584054200000001</v>
      </c>
    </row>
    <row r="315" spans="1:18" hidden="1" x14ac:dyDescent="0.35">
      <c r="A315" t="s">
        <v>319</v>
      </c>
      <c r="B315">
        <v>167</v>
      </c>
      <c r="C315">
        <v>158</v>
      </c>
      <c r="D315">
        <v>15</v>
      </c>
      <c r="E315">
        <v>13</v>
      </c>
      <c r="F315">
        <v>19.84943324</v>
      </c>
      <c r="J315" t="s">
        <v>319</v>
      </c>
      <c r="K315">
        <v>88</v>
      </c>
      <c r="L315">
        <v>235</v>
      </c>
      <c r="N315" t="s">
        <v>319</v>
      </c>
      <c r="O315">
        <v>32</v>
      </c>
      <c r="Q315">
        <v>110.317723</v>
      </c>
      <c r="R315">
        <v>12.15056676</v>
      </c>
    </row>
    <row r="316" spans="1:18" x14ac:dyDescent="0.35">
      <c r="A316" t="s">
        <v>320</v>
      </c>
      <c r="B316">
        <v>233</v>
      </c>
      <c r="C316">
        <v>174</v>
      </c>
      <c r="D316">
        <v>18</v>
      </c>
      <c r="E316">
        <v>10</v>
      </c>
      <c r="F316">
        <v>20.59126028</v>
      </c>
      <c r="J316" t="s">
        <v>320</v>
      </c>
      <c r="K316">
        <v>237</v>
      </c>
      <c r="L316">
        <v>158</v>
      </c>
      <c r="N316" t="s">
        <v>320</v>
      </c>
      <c r="O316">
        <v>15</v>
      </c>
      <c r="Q316">
        <v>16.4924225</v>
      </c>
      <c r="R316">
        <v>5.5912602800000002</v>
      </c>
    </row>
    <row r="317" spans="1:18" hidden="1" x14ac:dyDescent="0.35">
      <c r="A317" t="s">
        <v>321</v>
      </c>
      <c r="B317">
        <v>134</v>
      </c>
      <c r="C317">
        <v>156</v>
      </c>
      <c r="D317">
        <v>13</v>
      </c>
      <c r="E317">
        <v>10</v>
      </c>
      <c r="F317">
        <v>16.401219470000001</v>
      </c>
      <c r="J317" t="s">
        <v>321</v>
      </c>
      <c r="K317">
        <v>230</v>
      </c>
      <c r="L317">
        <v>169</v>
      </c>
      <c r="N317" t="s">
        <v>321</v>
      </c>
      <c r="O317">
        <v>14</v>
      </c>
      <c r="Q317">
        <v>96.876209669999994</v>
      </c>
      <c r="R317">
        <v>2.40121947</v>
      </c>
    </row>
    <row r="318" spans="1:18" hidden="1" x14ac:dyDescent="0.35">
      <c r="A318" t="s">
        <v>322</v>
      </c>
      <c r="B318">
        <v>186</v>
      </c>
      <c r="C318">
        <v>178</v>
      </c>
      <c r="D318">
        <v>18</v>
      </c>
      <c r="E318">
        <v>10</v>
      </c>
      <c r="F318">
        <v>20.59126028</v>
      </c>
      <c r="J318" t="s">
        <v>322</v>
      </c>
      <c r="K318">
        <v>99</v>
      </c>
      <c r="L318">
        <v>172</v>
      </c>
      <c r="N318" t="s">
        <v>322</v>
      </c>
      <c r="O318">
        <v>19</v>
      </c>
      <c r="Q318">
        <v>87.206651120000004</v>
      </c>
      <c r="R318">
        <v>1.59126028</v>
      </c>
    </row>
    <row r="319" spans="1:18" hidden="1" x14ac:dyDescent="0.35">
      <c r="A319" t="s">
        <v>323</v>
      </c>
      <c r="B319">
        <v>160</v>
      </c>
      <c r="C319">
        <v>136</v>
      </c>
      <c r="D319">
        <v>17</v>
      </c>
      <c r="E319">
        <v>8</v>
      </c>
      <c r="F319">
        <v>18.788294230000002</v>
      </c>
      <c r="J319" t="s">
        <v>323</v>
      </c>
      <c r="K319">
        <v>321</v>
      </c>
      <c r="L319">
        <v>116</v>
      </c>
      <c r="N319" t="s">
        <v>323</v>
      </c>
      <c r="O319">
        <v>14</v>
      </c>
      <c r="Q319">
        <v>162.23748029999999</v>
      </c>
      <c r="R319">
        <v>4.78829423</v>
      </c>
    </row>
    <row r="320" spans="1:18" x14ac:dyDescent="0.35">
      <c r="A320" t="s">
        <v>324</v>
      </c>
      <c r="B320">
        <v>185</v>
      </c>
      <c r="C320">
        <v>168</v>
      </c>
      <c r="D320">
        <v>13</v>
      </c>
      <c r="E320">
        <v>12</v>
      </c>
      <c r="F320">
        <v>17.691806010000001</v>
      </c>
      <c r="J320" t="s">
        <v>324</v>
      </c>
      <c r="K320">
        <v>202</v>
      </c>
      <c r="L320">
        <v>154</v>
      </c>
      <c r="N320" t="s">
        <v>324</v>
      </c>
      <c r="O320">
        <v>19</v>
      </c>
      <c r="Q320">
        <v>22.022715550000001</v>
      </c>
      <c r="R320">
        <v>1.3081939899999999</v>
      </c>
    </row>
    <row r="321" spans="1:21" hidden="1" x14ac:dyDescent="0.35">
      <c r="A321" t="s">
        <v>325</v>
      </c>
      <c r="B321">
        <v>218</v>
      </c>
      <c r="C321">
        <v>154</v>
      </c>
      <c r="D321">
        <v>14</v>
      </c>
      <c r="E321">
        <v>9</v>
      </c>
      <c r="F321">
        <v>16.643316980000002</v>
      </c>
      <c r="J321" t="s">
        <v>325</v>
      </c>
      <c r="K321">
        <v>156</v>
      </c>
      <c r="L321">
        <v>171</v>
      </c>
      <c r="N321" t="s">
        <v>325</v>
      </c>
      <c r="O321">
        <v>81</v>
      </c>
      <c r="Q321">
        <v>64.288412640000004</v>
      </c>
      <c r="R321">
        <v>64.356683020000006</v>
      </c>
    </row>
    <row r="322" spans="1:21" x14ac:dyDescent="0.35">
      <c r="A322" t="s">
        <v>326</v>
      </c>
      <c r="B322">
        <v>187</v>
      </c>
      <c r="C322">
        <v>154</v>
      </c>
      <c r="D322">
        <v>19</v>
      </c>
      <c r="E322">
        <v>16</v>
      </c>
      <c r="F322">
        <v>24.8394847</v>
      </c>
      <c r="J322" t="s">
        <v>326</v>
      </c>
      <c r="K322">
        <v>201</v>
      </c>
      <c r="L322">
        <v>160</v>
      </c>
      <c r="N322" t="s">
        <v>326</v>
      </c>
      <c r="O322">
        <v>20</v>
      </c>
      <c r="Q322">
        <v>15.231546209999999</v>
      </c>
      <c r="R322">
        <v>4.8394846999999999</v>
      </c>
      <c r="T322">
        <f>AVERAGE(Q322,Q324,Q326,Q330,Q332,Q334,Q336,Q338,Q341,Q343,Q345,Q349)</f>
        <v>11.088273665333332</v>
      </c>
      <c r="U322">
        <f>AVERAGE(R322,R324,R326,R330,R332,R334,R336,R338,R341,R343,R345,R349)</f>
        <v>3.756772230833334</v>
      </c>
    </row>
    <row r="323" spans="1:21" hidden="1" x14ac:dyDescent="0.35">
      <c r="A323" t="s">
        <v>327</v>
      </c>
      <c r="B323">
        <v>183</v>
      </c>
      <c r="C323">
        <v>183</v>
      </c>
      <c r="D323">
        <v>10</v>
      </c>
      <c r="E323">
        <v>12</v>
      </c>
      <c r="F323">
        <v>15.620499349999999</v>
      </c>
      <c r="J323" t="s">
        <v>327</v>
      </c>
      <c r="K323">
        <v>247</v>
      </c>
      <c r="L323">
        <v>296</v>
      </c>
      <c r="N323" t="s">
        <v>327</v>
      </c>
      <c r="O323">
        <v>22</v>
      </c>
      <c r="Q323">
        <v>129.86531479999999</v>
      </c>
      <c r="R323">
        <v>6.3795006499999998</v>
      </c>
    </row>
    <row r="324" spans="1:21" x14ac:dyDescent="0.35">
      <c r="A324" t="s">
        <v>328</v>
      </c>
      <c r="B324">
        <v>163</v>
      </c>
      <c r="C324">
        <v>196</v>
      </c>
      <c r="D324">
        <v>12</v>
      </c>
      <c r="E324">
        <v>12</v>
      </c>
      <c r="F324">
        <v>16.970562749999999</v>
      </c>
      <c r="J324" t="s">
        <v>328</v>
      </c>
      <c r="K324">
        <v>175</v>
      </c>
      <c r="L324">
        <v>203</v>
      </c>
      <c r="N324" t="s">
        <v>328</v>
      </c>
      <c r="O324">
        <v>18</v>
      </c>
      <c r="Q324">
        <v>13.89244399</v>
      </c>
      <c r="R324">
        <v>1.02943725</v>
      </c>
      <c r="T324">
        <f>AVERAGE(Q322,Q324,Q326,Q330,Q332,Q334,Q336,Q338,Q341,Q343,Q345,Q349)</f>
        <v>11.088273665333332</v>
      </c>
    </row>
    <row r="325" spans="1:21" hidden="1" x14ac:dyDescent="0.35">
      <c r="A325" t="s">
        <v>329</v>
      </c>
      <c r="B325">
        <v>186</v>
      </c>
      <c r="C325">
        <v>162</v>
      </c>
      <c r="D325">
        <v>15</v>
      </c>
      <c r="E325">
        <v>12</v>
      </c>
      <c r="F325">
        <v>19.20937271</v>
      </c>
      <c r="J325" t="s">
        <v>329</v>
      </c>
      <c r="K325">
        <v>314</v>
      </c>
      <c r="L325">
        <v>200</v>
      </c>
      <c r="N325" t="s">
        <v>329</v>
      </c>
      <c r="O325">
        <v>20</v>
      </c>
      <c r="Q325">
        <v>133.52153379999999</v>
      </c>
      <c r="R325">
        <v>0.79062728999999998</v>
      </c>
    </row>
    <row r="326" spans="1:21" x14ac:dyDescent="0.35">
      <c r="A326" t="s">
        <v>330</v>
      </c>
      <c r="B326">
        <v>178</v>
      </c>
      <c r="C326">
        <v>144</v>
      </c>
      <c r="D326">
        <v>12</v>
      </c>
      <c r="E326">
        <v>7</v>
      </c>
      <c r="F326">
        <v>13.89244399</v>
      </c>
      <c r="J326" t="s">
        <v>330</v>
      </c>
      <c r="K326">
        <v>174</v>
      </c>
      <c r="L326">
        <v>153</v>
      </c>
      <c r="N326" t="s">
        <v>330</v>
      </c>
      <c r="O326">
        <v>22</v>
      </c>
      <c r="Q326">
        <v>9.8488578019999995</v>
      </c>
      <c r="R326">
        <v>8.1075560099999997</v>
      </c>
    </row>
    <row r="327" spans="1:21" hidden="1" x14ac:dyDescent="0.35">
      <c r="A327" t="s">
        <v>331</v>
      </c>
      <c r="B327">
        <v>177</v>
      </c>
      <c r="C327">
        <v>173</v>
      </c>
      <c r="D327">
        <v>8</v>
      </c>
      <c r="E327">
        <v>12</v>
      </c>
      <c r="F327">
        <v>14.422205099999999</v>
      </c>
      <c r="J327" t="s">
        <v>331</v>
      </c>
      <c r="K327">
        <v>228</v>
      </c>
      <c r="L327">
        <v>295</v>
      </c>
      <c r="N327" t="s">
        <v>331</v>
      </c>
      <c r="O327">
        <v>25</v>
      </c>
      <c r="Q327">
        <v>132.2308587</v>
      </c>
      <c r="R327">
        <v>10.577794900000001</v>
      </c>
    </row>
    <row r="328" spans="1:21" hidden="1" x14ac:dyDescent="0.35">
      <c r="A328" t="s">
        <v>332</v>
      </c>
      <c r="B328">
        <v>142</v>
      </c>
      <c r="C328">
        <v>170</v>
      </c>
      <c r="D328">
        <v>13</v>
      </c>
      <c r="E328">
        <v>18</v>
      </c>
      <c r="F328">
        <v>22.203603309999998</v>
      </c>
      <c r="J328" t="s">
        <v>332</v>
      </c>
      <c r="K328">
        <v>178</v>
      </c>
      <c r="L328">
        <v>138</v>
      </c>
      <c r="N328" t="s">
        <v>332</v>
      </c>
      <c r="O328">
        <v>16</v>
      </c>
      <c r="Q328">
        <v>48.16637832</v>
      </c>
      <c r="R328">
        <v>6.2036033100000001</v>
      </c>
    </row>
    <row r="329" spans="1:21" hidden="1" x14ac:dyDescent="0.35">
      <c r="A329" t="s">
        <v>333</v>
      </c>
      <c r="B329">
        <v>162</v>
      </c>
      <c r="C329">
        <v>144</v>
      </c>
      <c r="D329">
        <v>11</v>
      </c>
      <c r="E329">
        <v>12</v>
      </c>
      <c r="F329">
        <v>16.2788206</v>
      </c>
      <c r="J329" t="s">
        <v>333</v>
      </c>
      <c r="K329">
        <v>114</v>
      </c>
      <c r="L329">
        <v>171</v>
      </c>
      <c r="N329" t="s">
        <v>333</v>
      </c>
      <c r="O329">
        <v>79</v>
      </c>
      <c r="Q329">
        <v>55.07267925</v>
      </c>
      <c r="R329">
        <v>62.721179399999997</v>
      </c>
    </row>
    <row r="330" spans="1:21" x14ac:dyDescent="0.35">
      <c r="A330" t="s">
        <v>334</v>
      </c>
      <c r="B330">
        <v>142</v>
      </c>
      <c r="C330">
        <v>170</v>
      </c>
      <c r="D330">
        <v>14</v>
      </c>
      <c r="E330">
        <v>12</v>
      </c>
      <c r="F330">
        <v>18.439088909999999</v>
      </c>
      <c r="J330" t="s">
        <v>334</v>
      </c>
      <c r="K330">
        <v>149</v>
      </c>
      <c r="L330">
        <v>179</v>
      </c>
      <c r="N330" t="s">
        <v>334</v>
      </c>
      <c r="O330">
        <v>15</v>
      </c>
      <c r="Q330">
        <v>11.40175425</v>
      </c>
      <c r="R330">
        <v>3.4390889100000002</v>
      </c>
    </row>
    <row r="331" spans="1:21" hidden="1" x14ac:dyDescent="0.35">
      <c r="A331" t="s">
        <v>335</v>
      </c>
      <c r="B331">
        <v>161</v>
      </c>
      <c r="C331">
        <v>176</v>
      </c>
      <c r="D331">
        <v>10</v>
      </c>
      <c r="E331">
        <v>7</v>
      </c>
      <c r="F331">
        <v>12.20655562</v>
      </c>
      <c r="J331" t="s">
        <v>335</v>
      </c>
      <c r="K331">
        <v>105</v>
      </c>
      <c r="L331">
        <v>186</v>
      </c>
      <c r="N331" t="s">
        <v>335</v>
      </c>
      <c r="O331">
        <v>68</v>
      </c>
      <c r="Q331">
        <v>56.885850609999999</v>
      </c>
      <c r="R331">
        <v>55.793444379999997</v>
      </c>
    </row>
    <row r="332" spans="1:21" x14ac:dyDescent="0.35">
      <c r="A332" t="s">
        <v>336</v>
      </c>
      <c r="B332">
        <v>177</v>
      </c>
      <c r="C332">
        <v>162</v>
      </c>
      <c r="D332">
        <v>18</v>
      </c>
      <c r="E332">
        <v>19</v>
      </c>
      <c r="F332">
        <v>26.172504660000001</v>
      </c>
      <c r="J332" t="s">
        <v>336</v>
      </c>
      <c r="K332">
        <v>186</v>
      </c>
      <c r="L332">
        <v>166</v>
      </c>
      <c r="N332" t="s">
        <v>336</v>
      </c>
      <c r="O332">
        <v>24</v>
      </c>
      <c r="Q332">
        <v>9.8488578019999995</v>
      </c>
      <c r="R332">
        <v>2.17250466</v>
      </c>
    </row>
    <row r="333" spans="1:21" hidden="1" x14ac:dyDescent="0.35">
      <c r="A333" t="s">
        <v>337</v>
      </c>
      <c r="B333">
        <v>206</v>
      </c>
      <c r="C333">
        <v>162</v>
      </c>
      <c r="D333">
        <v>12</v>
      </c>
      <c r="E333">
        <v>7</v>
      </c>
      <c r="F333">
        <v>13.89244399</v>
      </c>
      <c r="J333" t="s">
        <v>337</v>
      </c>
      <c r="K333">
        <v>247</v>
      </c>
      <c r="L333">
        <v>278</v>
      </c>
      <c r="N333" t="s">
        <v>337</v>
      </c>
      <c r="O333">
        <v>19</v>
      </c>
      <c r="Q333">
        <v>123.032516</v>
      </c>
      <c r="R333">
        <v>5.1075560099999997</v>
      </c>
    </row>
    <row r="334" spans="1:21" x14ac:dyDescent="0.35">
      <c r="A334" t="s">
        <v>338</v>
      </c>
      <c r="B334">
        <v>210</v>
      </c>
      <c r="C334">
        <v>169</v>
      </c>
      <c r="D334">
        <v>12</v>
      </c>
      <c r="E334">
        <v>14</v>
      </c>
      <c r="F334">
        <v>18.439088909999999</v>
      </c>
      <c r="J334" t="s">
        <v>338</v>
      </c>
      <c r="K334">
        <v>216</v>
      </c>
      <c r="L334">
        <v>162</v>
      </c>
      <c r="N334" t="s">
        <v>338</v>
      </c>
      <c r="O334">
        <v>24</v>
      </c>
      <c r="Q334">
        <v>9.2195444569999996</v>
      </c>
      <c r="R334">
        <v>5.5609110900000003</v>
      </c>
    </row>
    <row r="335" spans="1:21" hidden="1" x14ac:dyDescent="0.35">
      <c r="A335" t="s">
        <v>339</v>
      </c>
      <c r="B335">
        <v>220</v>
      </c>
      <c r="C335">
        <v>183</v>
      </c>
      <c r="D335">
        <v>15</v>
      </c>
      <c r="E335">
        <v>11</v>
      </c>
      <c r="F335">
        <v>18.60107524</v>
      </c>
      <c r="J335" t="s">
        <v>339</v>
      </c>
      <c r="K335">
        <v>242</v>
      </c>
      <c r="L335">
        <v>300</v>
      </c>
      <c r="N335" t="s">
        <v>339</v>
      </c>
      <c r="O335">
        <v>26</v>
      </c>
      <c r="Q335">
        <v>119.0504095</v>
      </c>
      <c r="R335">
        <v>7.3989247599999999</v>
      </c>
    </row>
    <row r="336" spans="1:21" x14ac:dyDescent="0.35">
      <c r="A336" t="s">
        <v>340</v>
      </c>
      <c r="B336">
        <v>183</v>
      </c>
      <c r="C336">
        <v>136</v>
      </c>
      <c r="D336">
        <v>16</v>
      </c>
      <c r="E336">
        <v>19</v>
      </c>
      <c r="F336">
        <v>24.8394847</v>
      </c>
      <c r="J336" t="s">
        <v>340</v>
      </c>
      <c r="K336">
        <v>198</v>
      </c>
      <c r="L336">
        <v>136</v>
      </c>
      <c r="N336" t="s">
        <v>340</v>
      </c>
      <c r="O336">
        <v>19</v>
      </c>
      <c r="Q336">
        <v>15</v>
      </c>
      <c r="R336">
        <v>5.8394846999999999</v>
      </c>
    </row>
    <row r="337" spans="1:21" hidden="1" x14ac:dyDescent="0.35">
      <c r="A337" t="s">
        <v>341</v>
      </c>
      <c r="B337">
        <v>190</v>
      </c>
      <c r="C337">
        <v>193</v>
      </c>
      <c r="D337">
        <v>8</v>
      </c>
      <c r="E337">
        <v>6</v>
      </c>
      <c r="F337">
        <v>10</v>
      </c>
      <c r="J337" t="s">
        <v>341</v>
      </c>
      <c r="K337">
        <v>238</v>
      </c>
      <c r="L337">
        <v>296</v>
      </c>
      <c r="N337" t="s">
        <v>341</v>
      </c>
      <c r="O337">
        <v>22</v>
      </c>
      <c r="Q337">
        <v>113.6353818</v>
      </c>
      <c r="R337">
        <v>12</v>
      </c>
    </row>
    <row r="338" spans="1:21" x14ac:dyDescent="0.35">
      <c r="A338" t="s">
        <v>342</v>
      </c>
      <c r="B338">
        <v>224</v>
      </c>
      <c r="C338">
        <v>171</v>
      </c>
      <c r="D338">
        <v>14</v>
      </c>
      <c r="E338">
        <v>4</v>
      </c>
      <c r="F338">
        <v>14.560219780000001</v>
      </c>
      <c r="J338" t="s">
        <v>342</v>
      </c>
      <c r="K338">
        <v>210</v>
      </c>
      <c r="L338">
        <v>177</v>
      </c>
      <c r="N338" t="s">
        <v>342</v>
      </c>
      <c r="O338">
        <v>20</v>
      </c>
      <c r="Q338">
        <v>15.231546209999999</v>
      </c>
      <c r="R338">
        <v>5.4397802200000003</v>
      </c>
    </row>
    <row r="339" spans="1:21" hidden="1" x14ac:dyDescent="0.35">
      <c r="A339" t="s">
        <v>343</v>
      </c>
      <c r="B339">
        <v>189</v>
      </c>
      <c r="C339">
        <v>192</v>
      </c>
      <c r="D339">
        <v>12</v>
      </c>
      <c r="E339">
        <v>6</v>
      </c>
      <c r="F339">
        <v>13.41640786</v>
      </c>
      <c r="J339" t="s">
        <v>343</v>
      </c>
      <c r="K339">
        <v>362</v>
      </c>
      <c r="L339">
        <v>119</v>
      </c>
      <c r="N339" t="s">
        <v>343</v>
      </c>
      <c r="O339">
        <v>18</v>
      </c>
      <c r="Q339">
        <v>187.77113729999999</v>
      </c>
      <c r="R339">
        <v>4.5835921400000004</v>
      </c>
    </row>
    <row r="340" spans="1:21" hidden="1" x14ac:dyDescent="0.35">
      <c r="A340" t="s">
        <v>344</v>
      </c>
      <c r="B340">
        <v>195</v>
      </c>
      <c r="C340">
        <v>156</v>
      </c>
      <c r="D340">
        <v>15</v>
      </c>
      <c r="E340">
        <v>8</v>
      </c>
      <c r="F340">
        <v>17</v>
      </c>
      <c r="J340" t="s">
        <v>344</v>
      </c>
      <c r="K340">
        <v>146</v>
      </c>
      <c r="L340">
        <v>176</v>
      </c>
      <c r="N340" t="s">
        <v>344</v>
      </c>
      <c r="O340">
        <v>82</v>
      </c>
      <c r="Q340">
        <v>52.924474490000001</v>
      </c>
      <c r="R340">
        <v>65</v>
      </c>
    </row>
    <row r="341" spans="1:21" x14ac:dyDescent="0.35">
      <c r="A341" t="s">
        <v>345</v>
      </c>
      <c r="B341">
        <v>184</v>
      </c>
      <c r="C341">
        <v>146</v>
      </c>
      <c r="D341">
        <v>20</v>
      </c>
      <c r="E341">
        <v>20</v>
      </c>
      <c r="F341">
        <v>28.28427125</v>
      </c>
      <c r="J341" t="s">
        <v>345</v>
      </c>
      <c r="K341">
        <v>194</v>
      </c>
      <c r="L341">
        <v>141</v>
      </c>
      <c r="N341" t="s">
        <v>345</v>
      </c>
      <c r="O341">
        <v>26</v>
      </c>
      <c r="Q341">
        <v>11.180339890000001</v>
      </c>
      <c r="R341">
        <v>2.2842712500000002</v>
      </c>
    </row>
    <row r="342" spans="1:21" hidden="1" x14ac:dyDescent="0.35">
      <c r="A342" t="s">
        <v>346</v>
      </c>
      <c r="B342">
        <v>187</v>
      </c>
      <c r="C342">
        <v>190</v>
      </c>
      <c r="D342">
        <v>10</v>
      </c>
      <c r="E342">
        <v>19</v>
      </c>
      <c r="F342">
        <v>21.470910549999999</v>
      </c>
      <c r="J342" t="s">
        <v>346</v>
      </c>
      <c r="K342">
        <v>222</v>
      </c>
      <c r="L342">
        <v>285</v>
      </c>
      <c r="N342" t="s">
        <v>346</v>
      </c>
      <c r="O342">
        <v>26</v>
      </c>
      <c r="Q342">
        <v>101.2422837</v>
      </c>
      <c r="R342">
        <v>4.5290894499999999</v>
      </c>
    </row>
    <row r="343" spans="1:21" x14ac:dyDescent="0.35">
      <c r="A343" t="s">
        <v>347</v>
      </c>
      <c r="B343">
        <v>171</v>
      </c>
      <c r="C343">
        <v>178</v>
      </c>
      <c r="D343">
        <v>13</v>
      </c>
      <c r="E343">
        <v>17</v>
      </c>
      <c r="F343">
        <v>21.40093456</v>
      </c>
      <c r="J343" t="s">
        <v>347</v>
      </c>
      <c r="K343">
        <v>178</v>
      </c>
      <c r="L343">
        <v>182</v>
      </c>
      <c r="N343" t="s">
        <v>347</v>
      </c>
      <c r="O343">
        <v>21</v>
      </c>
      <c r="Q343">
        <v>8.0622577480000004</v>
      </c>
      <c r="R343">
        <v>0.40093456</v>
      </c>
    </row>
    <row r="344" spans="1:21" hidden="1" x14ac:dyDescent="0.35">
      <c r="A344" t="s">
        <v>348</v>
      </c>
      <c r="B344">
        <v>169</v>
      </c>
      <c r="C344">
        <v>160</v>
      </c>
      <c r="D344">
        <v>18</v>
      </c>
      <c r="E344">
        <v>17</v>
      </c>
      <c r="F344">
        <v>24.758836809999998</v>
      </c>
      <c r="J344" t="s">
        <v>348</v>
      </c>
      <c r="K344">
        <v>201</v>
      </c>
      <c r="L344">
        <v>278</v>
      </c>
      <c r="N344" t="s">
        <v>348</v>
      </c>
      <c r="O344">
        <v>14</v>
      </c>
      <c r="Q344">
        <v>122.2620137</v>
      </c>
      <c r="R344">
        <v>10.75883681</v>
      </c>
    </row>
    <row r="345" spans="1:21" x14ac:dyDescent="0.35">
      <c r="A345" t="s">
        <v>349</v>
      </c>
      <c r="B345">
        <v>211</v>
      </c>
      <c r="C345">
        <v>152</v>
      </c>
      <c r="D345">
        <v>13</v>
      </c>
      <c r="E345">
        <v>23</v>
      </c>
      <c r="F345">
        <v>26.419689630000001</v>
      </c>
      <c r="J345" t="s">
        <v>349</v>
      </c>
      <c r="K345">
        <v>219</v>
      </c>
      <c r="L345">
        <v>144</v>
      </c>
      <c r="N345" t="s">
        <v>349</v>
      </c>
      <c r="O345">
        <v>27</v>
      </c>
      <c r="Q345">
        <v>11.313708500000001</v>
      </c>
      <c r="R345">
        <v>0.58031036999999996</v>
      </c>
    </row>
    <row r="346" spans="1:21" hidden="1" x14ac:dyDescent="0.35">
      <c r="A346" t="s">
        <v>350</v>
      </c>
      <c r="B346">
        <v>150</v>
      </c>
      <c r="C346">
        <v>185</v>
      </c>
      <c r="D346">
        <v>11</v>
      </c>
      <c r="E346">
        <v>16</v>
      </c>
      <c r="F346">
        <v>19.416487839999998</v>
      </c>
      <c r="J346" t="s">
        <v>350</v>
      </c>
      <c r="K346">
        <v>223</v>
      </c>
      <c r="L346">
        <v>294</v>
      </c>
      <c r="N346" t="s">
        <v>350</v>
      </c>
      <c r="O346">
        <v>21</v>
      </c>
      <c r="Q346">
        <v>131.1868896</v>
      </c>
      <c r="R346">
        <v>1.5835121599999999</v>
      </c>
    </row>
    <row r="347" spans="1:21" hidden="1" x14ac:dyDescent="0.35">
      <c r="A347" t="s">
        <v>351</v>
      </c>
      <c r="B347">
        <v>152</v>
      </c>
      <c r="C347">
        <v>163</v>
      </c>
      <c r="D347">
        <v>19</v>
      </c>
      <c r="E347">
        <v>14</v>
      </c>
      <c r="F347">
        <v>23.600847439999999</v>
      </c>
      <c r="J347" t="s">
        <v>351</v>
      </c>
      <c r="K347">
        <v>178</v>
      </c>
      <c r="L347">
        <v>172</v>
      </c>
      <c r="N347" t="s">
        <v>351</v>
      </c>
      <c r="O347">
        <v>20</v>
      </c>
      <c r="Q347">
        <v>27.513632980000001</v>
      </c>
      <c r="R347">
        <v>3.6008474399999999</v>
      </c>
    </row>
    <row r="348" spans="1:21" hidden="1" x14ac:dyDescent="0.35">
      <c r="A348" t="s">
        <v>352</v>
      </c>
      <c r="B348">
        <v>148</v>
      </c>
      <c r="C348">
        <v>145</v>
      </c>
      <c r="D348">
        <v>7</v>
      </c>
      <c r="E348">
        <v>18</v>
      </c>
      <c r="F348">
        <v>19.31320792</v>
      </c>
      <c r="J348" t="s">
        <v>352</v>
      </c>
      <c r="K348">
        <v>99</v>
      </c>
      <c r="L348">
        <v>218</v>
      </c>
      <c r="N348" t="s">
        <v>352</v>
      </c>
      <c r="O348">
        <v>28</v>
      </c>
      <c r="Q348">
        <v>87.920418560000002</v>
      </c>
      <c r="R348">
        <v>8.68679208</v>
      </c>
    </row>
    <row r="349" spans="1:21" x14ac:dyDescent="0.35">
      <c r="A349" t="s">
        <v>353</v>
      </c>
      <c r="B349">
        <v>173</v>
      </c>
      <c r="C349">
        <v>154</v>
      </c>
      <c r="D349">
        <v>20</v>
      </c>
      <c r="E349">
        <v>16</v>
      </c>
      <c r="F349">
        <v>25.612496950000001</v>
      </c>
      <c r="J349" t="s">
        <v>353</v>
      </c>
      <c r="K349">
        <v>175</v>
      </c>
      <c r="L349">
        <v>152</v>
      </c>
      <c r="N349" t="s">
        <v>353</v>
      </c>
      <c r="O349">
        <v>31</v>
      </c>
      <c r="Q349">
        <v>2.8284271250000002</v>
      </c>
      <c r="R349">
        <v>5.3875030500000003</v>
      </c>
    </row>
    <row r="350" spans="1:21" x14ac:dyDescent="0.35">
      <c r="A350" t="s">
        <v>354</v>
      </c>
      <c r="B350">
        <v>158</v>
      </c>
      <c r="C350">
        <v>164</v>
      </c>
      <c r="D350">
        <v>15</v>
      </c>
      <c r="E350">
        <v>19</v>
      </c>
      <c r="F350">
        <v>24.207436869999999</v>
      </c>
      <c r="J350" t="s">
        <v>354</v>
      </c>
      <c r="K350">
        <v>172</v>
      </c>
      <c r="L350">
        <v>172</v>
      </c>
      <c r="N350" t="s">
        <v>354</v>
      </c>
      <c r="O350">
        <v>29</v>
      </c>
      <c r="Q350">
        <v>16.124515500000001</v>
      </c>
      <c r="R350">
        <v>4.7925631299999996</v>
      </c>
      <c r="T350">
        <f>AVERAGE(Q350,Q351,Q352,Q359,Q360,Q365,Q367,Q368,Q372,Q374)</f>
        <v>7.8636249991999989</v>
      </c>
      <c r="U350">
        <f>AVERAGE(R350,R351,R352,R359,R360,R365,R367,R368,R372,R374)</f>
        <v>5.1688171390000006</v>
      </c>
    </row>
    <row r="351" spans="1:21" x14ac:dyDescent="0.35">
      <c r="A351" t="s">
        <v>355</v>
      </c>
      <c r="B351">
        <v>208</v>
      </c>
      <c r="C351">
        <v>184</v>
      </c>
      <c r="D351">
        <v>17</v>
      </c>
      <c r="E351">
        <v>15</v>
      </c>
      <c r="F351">
        <v>22.671568099999998</v>
      </c>
      <c r="J351" t="s">
        <v>355</v>
      </c>
      <c r="K351">
        <v>217</v>
      </c>
      <c r="L351">
        <v>189</v>
      </c>
      <c r="N351" t="s">
        <v>355</v>
      </c>
      <c r="O351">
        <v>14</v>
      </c>
      <c r="Q351">
        <v>10.29563014</v>
      </c>
      <c r="R351">
        <v>8.6715681</v>
      </c>
      <c r="T351">
        <f>AVERAGE(Q351,Q359,Q365,Q367,Q368,Q372,Q374)</f>
        <v>7.6867376718571432</v>
      </c>
      <c r="U351">
        <f>AVERAGE(R351,R359,R365,R367,R368,R372,R374)</f>
        <v>4.8935431557142852</v>
      </c>
    </row>
    <row r="352" spans="1:21" x14ac:dyDescent="0.35">
      <c r="A352" t="s">
        <v>356</v>
      </c>
      <c r="B352">
        <v>184</v>
      </c>
      <c r="C352">
        <v>186</v>
      </c>
      <c r="D352">
        <v>15</v>
      </c>
      <c r="E352">
        <v>7</v>
      </c>
      <c r="F352">
        <v>16.552945359999999</v>
      </c>
      <c r="J352" t="s">
        <v>356</v>
      </c>
      <c r="K352">
        <v>189</v>
      </c>
      <c r="L352">
        <v>187</v>
      </c>
      <c r="N352" t="s">
        <v>356</v>
      </c>
      <c r="O352">
        <v>25</v>
      </c>
      <c r="Q352">
        <v>5.0990195140000001</v>
      </c>
      <c r="R352">
        <v>8.4470546399999993</v>
      </c>
      <c r="T352">
        <f>AVERAGE(Q350,Q352,Q360)</f>
        <v>8.2763620963333331</v>
      </c>
      <c r="U352">
        <f>AVERAGE(R350,R352,R360)</f>
        <v>5.8111230999999997</v>
      </c>
    </row>
    <row r="353" spans="1:18" hidden="1" x14ac:dyDescent="0.35">
      <c r="A353" t="s">
        <v>357</v>
      </c>
      <c r="B353">
        <v>196</v>
      </c>
      <c r="C353">
        <v>181</v>
      </c>
      <c r="D353">
        <v>23</v>
      </c>
      <c r="E353">
        <v>16</v>
      </c>
      <c r="F353">
        <v>28.017851449999998</v>
      </c>
      <c r="J353" t="s">
        <v>357</v>
      </c>
      <c r="K353">
        <v>384</v>
      </c>
      <c r="L353">
        <v>74</v>
      </c>
      <c r="N353" t="s">
        <v>357</v>
      </c>
      <c r="O353">
        <v>26</v>
      </c>
      <c r="Q353">
        <v>216.3168972</v>
      </c>
      <c r="R353">
        <v>2.0178514500000002</v>
      </c>
    </row>
    <row r="354" spans="1:18" hidden="1" x14ac:dyDescent="0.35">
      <c r="A354" t="s">
        <v>358</v>
      </c>
      <c r="B354">
        <v>206</v>
      </c>
      <c r="C354">
        <v>184</v>
      </c>
      <c r="D354">
        <v>13</v>
      </c>
      <c r="E354">
        <v>14</v>
      </c>
      <c r="F354">
        <v>19.104973170000001</v>
      </c>
      <c r="J354" t="s">
        <v>358</v>
      </c>
      <c r="K354">
        <v>205</v>
      </c>
      <c r="L354">
        <v>88</v>
      </c>
      <c r="N354" t="s">
        <v>358</v>
      </c>
      <c r="O354">
        <v>27</v>
      </c>
      <c r="Q354">
        <v>96.005208190000005</v>
      </c>
      <c r="R354">
        <v>7.8950268299999999</v>
      </c>
    </row>
    <row r="355" spans="1:18" hidden="1" x14ac:dyDescent="0.35">
      <c r="A355" t="s">
        <v>359</v>
      </c>
      <c r="B355">
        <v>203</v>
      </c>
      <c r="C355">
        <v>156</v>
      </c>
      <c r="D355">
        <v>11</v>
      </c>
      <c r="E355">
        <v>17</v>
      </c>
      <c r="F355">
        <v>20.248456730000001</v>
      </c>
      <c r="J355" t="s">
        <v>359</v>
      </c>
      <c r="K355">
        <v>373</v>
      </c>
      <c r="L355">
        <v>80</v>
      </c>
      <c r="N355" t="s">
        <v>359</v>
      </c>
      <c r="O355">
        <v>47</v>
      </c>
      <c r="Q355">
        <v>186.2149296</v>
      </c>
      <c r="R355">
        <v>26.751543269999999</v>
      </c>
    </row>
    <row r="356" spans="1:18" hidden="1" x14ac:dyDescent="0.35">
      <c r="A356" t="s">
        <v>360</v>
      </c>
      <c r="B356">
        <v>189</v>
      </c>
      <c r="C356">
        <v>172</v>
      </c>
      <c r="D356">
        <v>13</v>
      </c>
      <c r="E356">
        <v>16</v>
      </c>
      <c r="F356">
        <v>20.615528130000001</v>
      </c>
      <c r="J356" t="s">
        <v>360</v>
      </c>
      <c r="K356">
        <v>112</v>
      </c>
      <c r="L356">
        <v>237</v>
      </c>
      <c r="N356" t="s">
        <v>360</v>
      </c>
      <c r="O356">
        <v>25</v>
      </c>
      <c r="Q356">
        <v>100.7670581</v>
      </c>
      <c r="R356">
        <v>4.3844718699999996</v>
      </c>
    </row>
    <row r="357" spans="1:18" hidden="1" x14ac:dyDescent="0.35">
      <c r="A357" t="s">
        <v>361</v>
      </c>
      <c r="B357">
        <v>171</v>
      </c>
      <c r="C357">
        <v>150</v>
      </c>
      <c r="D357">
        <v>15</v>
      </c>
      <c r="E357">
        <v>20</v>
      </c>
      <c r="F357">
        <v>25</v>
      </c>
      <c r="J357" t="s">
        <v>361</v>
      </c>
      <c r="K357">
        <v>366</v>
      </c>
      <c r="L357">
        <v>82</v>
      </c>
      <c r="N357" t="s">
        <v>361</v>
      </c>
      <c r="O357">
        <v>41</v>
      </c>
      <c r="Q357">
        <v>206.51634319999999</v>
      </c>
      <c r="R357">
        <v>16</v>
      </c>
    </row>
    <row r="358" spans="1:18" hidden="1" x14ac:dyDescent="0.35">
      <c r="A358" t="s">
        <v>362</v>
      </c>
      <c r="B358">
        <v>149</v>
      </c>
      <c r="C358">
        <v>191</v>
      </c>
      <c r="D358">
        <v>9</v>
      </c>
      <c r="E358">
        <v>18</v>
      </c>
      <c r="F358">
        <v>20.1246118</v>
      </c>
      <c r="J358" t="s">
        <v>362</v>
      </c>
      <c r="K358">
        <v>123</v>
      </c>
      <c r="L358">
        <v>210</v>
      </c>
      <c r="N358" t="s">
        <v>362</v>
      </c>
      <c r="O358">
        <v>81</v>
      </c>
      <c r="Q358">
        <v>32.202484380000001</v>
      </c>
      <c r="R358">
        <v>60.875388200000003</v>
      </c>
    </row>
    <row r="359" spans="1:18" x14ac:dyDescent="0.35">
      <c r="A359" t="s">
        <v>363</v>
      </c>
      <c r="B359">
        <v>168</v>
      </c>
      <c r="C359">
        <v>145</v>
      </c>
      <c r="D359">
        <v>15</v>
      </c>
      <c r="E359">
        <v>10</v>
      </c>
      <c r="F359">
        <v>18.02775638</v>
      </c>
      <c r="J359" t="s">
        <v>363</v>
      </c>
      <c r="K359">
        <v>174</v>
      </c>
      <c r="L359">
        <v>154</v>
      </c>
      <c r="N359" t="s">
        <v>363</v>
      </c>
      <c r="O359">
        <v>20</v>
      </c>
      <c r="Q359">
        <v>10.81665383</v>
      </c>
      <c r="R359">
        <v>1.97224362</v>
      </c>
    </row>
    <row r="360" spans="1:18" x14ac:dyDescent="0.35">
      <c r="A360" t="s">
        <v>364</v>
      </c>
      <c r="B360">
        <v>187</v>
      </c>
      <c r="C360">
        <v>194</v>
      </c>
      <c r="D360">
        <v>10</v>
      </c>
      <c r="E360">
        <v>8</v>
      </c>
      <c r="F360">
        <v>12.80624847</v>
      </c>
      <c r="J360" t="s">
        <v>364</v>
      </c>
      <c r="K360">
        <v>184</v>
      </c>
      <c r="L360">
        <v>192</v>
      </c>
      <c r="N360" t="s">
        <v>364</v>
      </c>
      <c r="O360">
        <v>17</v>
      </c>
      <c r="Q360">
        <v>3.6055512749999998</v>
      </c>
      <c r="R360">
        <v>4.1937515300000001</v>
      </c>
    </row>
    <row r="361" spans="1:18" hidden="1" x14ac:dyDescent="0.35">
      <c r="A361" t="s">
        <v>365</v>
      </c>
      <c r="B361">
        <v>202</v>
      </c>
      <c r="C361">
        <v>179</v>
      </c>
      <c r="D361">
        <v>13</v>
      </c>
      <c r="E361">
        <v>10</v>
      </c>
      <c r="F361">
        <v>16.401219470000001</v>
      </c>
      <c r="J361" t="s">
        <v>365</v>
      </c>
      <c r="K361">
        <v>378</v>
      </c>
      <c r="L361">
        <v>83</v>
      </c>
      <c r="N361" t="s">
        <v>365</v>
      </c>
      <c r="O361">
        <v>24</v>
      </c>
      <c r="Q361">
        <v>200.4794254</v>
      </c>
      <c r="R361">
        <v>7.59878053</v>
      </c>
    </row>
    <row r="362" spans="1:18" hidden="1" x14ac:dyDescent="0.35">
      <c r="A362" t="s">
        <v>366</v>
      </c>
      <c r="B362">
        <v>194</v>
      </c>
      <c r="C362">
        <v>210</v>
      </c>
      <c r="D362">
        <v>18</v>
      </c>
      <c r="E362">
        <v>21</v>
      </c>
      <c r="F362">
        <v>27.65863337</v>
      </c>
      <c r="J362" t="s">
        <v>366</v>
      </c>
      <c r="K362">
        <v>265</v>
      </c>
      <c r="L362">
        <v>182</v>
      </c>
      <c r="N362" t="s">
        <v>366</v>
      </c>
      <c r="O362">
        <v>35</v>
      </c>
      <c r="Q362">
        <v>76.321687609999998</v>
      </c>
      <c r="R362">
        <v>7.3413666299999996</v>
      </c>
    </row>
    <row r="363" spans="1:18" hidden="1" x14ac:dyDescent="0.35">
      <c r="A363" t="s">
        <v>367</v>
      </c>
      <c r="B363">
        <v>213</v>
      </c>
      <c r="C363">
        <v>180</v>
      </c>
      <c r="D363">
        <v>21</v>
      </c>
      <c r="E363">
        <v>19</v>
      </c>
      <c r="F363">
        <v>28.319604519999999</v>
      </c>
      <c r="J363" t="s">
        <v>367</v>
      </c>
      <c r="K363">
        <v>384</v>
      </c>
      <c r="L363">
        <v>70</v>
      </c>
      <c r="N363" t="s">
        <v>367</v>
      </c>
      <c r="O363">
        <v>20</v>
      </c>
      <c r="Q363">
        <v>203.32486320000001</v>
      </c>
      <c r="R363">
        <v>8.3196045200000004</v>
      </c>
    </row>
    <row r="364" spans="1:18" hidden="1" x14ac:dyDescent="0.35">
      <c r="A364" t="s">
        <v>368</v>
      </c>
      <c r="B364">
        <v>232</v>
      </c>
      <c r="C364">
        <v>184</v>
      </c>
      <c r="D364">
        <v>14</v>
      </c>
      <c r="E364">
        <v>13</v>
      </c>
      <c r="F364">
        <v>19.104973170000001</v>
      </c>
      <c r="J364" t="s">
        <v>368</v>
      </c>
      <c r="K364">
        <v>302</v>
      </c>
      <c r="L364">
        <v>139</v>
      </c>
      <c r="N364" t="s">
        <v>368</v>
      </c>
      <c r="O364">
        <v>56</v>
      </c>
      <c r="Q364">
        <v>83.216584889999993</v>
      </c>
      <c r="R364">
        <v>36.895026829999999</v>
      </c>
    </row>
    <row r="365" spans="1:18" x14ac:dyDescent="0.35">
      <c r="A365" t="s">
        <v>369</v>
      </c>
      <c r="B365">
        <v>219</v>
      </c>
      <c r="C365">
        <v>173</v>
      </c>
      <c r="D365">
        <v>17</v>
      </c>
      <c r="E365">
        <v>7</v>
      </c>
      <c r="F365">
        <v>18.384776309999999</v>
      </c>
      <c r="J365" t="s">
        <v>369</v>
      </c>
      <c r="K365">
        <v>217</v>
      </c>
      <c r="L365">
        <v>174</v>
      </c>
      <c r="N365" t="s">
        <v>369</v>
      </c>
      <c r="O365">
        <v>27</v>
      </c>
      <c r="Q365">
        <v>2.2360679769999998</v>
      </c>
      <c r="R365">
        <v>8.6152236900000005</v>
      </c>
    </row>
    <row r="366" spans="1:18" hidden="1" x14ac:dyDescent="0.35">
      <c r="A366" t="s">
        <v>370</v>
      </c>
      <c r="B366">
        <v>201</v>
      </c>
      <c r="C366">
        <v>200</v>
      </c>
      <c r="D366">
        <v>19</v>
      </c>
      <c r="E366">
        <v>23</v>
      </c>
      <c r="F366">
        <v>29.832867780000001</v>
      </c>
      <c r="J366" t="s">
        <v>370</v>
      </c>
      <c r="K366">
        <v>271</v>
      </c>
      <c r="L366">
        <v>171</v>
      </c>
      <c r="N366" t="s">
        <v>370</v>
      </c>
      <c r="O366">
        <v>29</v>
      </c>
      <c r="Q366">
        <v>75.769386960000006</v>
      </c>
      <c r="R366">
        <v>0.83286777999999995</v>
      </c>
    </row>
    <row r="367" spans="1:18" x14ac:dyDescent="0.35">
      <c r="A367" t="s">
        <v>371</v>
      </c>
      <c r="B367">
        <v>195</v>
      </c>
      <c r="C367">
        <v>174</v>
      </c>
      <c r="D367">
        <v>17</v>
      </c>
      <c r="E367">
        <v>23</v>
      </c>
      <c r="F367">
        <v>28.600699290000001</v>
      </c>
      <c r="J367" t="s">
        <v>371</v>
      </c>
      <c r="K367">
        <v>196</v>
      </c>
      <c r="L367">
        <v>180</v>
      </c>
      <c r="N367" t="s">
        <v>371</v>
      </c>
      <c r="O367">
        <v>21</v>
      </c>
      <c r="Q367">
        <v>6.0827625300000001</v>
      </c>
      <c r="R367">
        <v>7.6006992899999997</v>
      </c>
    </row>
    <row r="368" spans="1:18" x14ac:dyDescent="0.35">
      <c r="A368" t="s">
        <v>372</v>
      </c>
      <c r="B368">
        <v>168</v>
      </c>
      <c r="C368">
        <v>205</v>
      </c>
      <c r="D368">
        <v>18</v>
      </c>
      <c r="E368">
        <v>16</v>
      </c>
      <c r="F368">
        <v>24.08318916</v>
      </c>
      <c r="J368" t="s">
        <v>372</v>
      </c>
      <c r="K368">
        <v>174</v>
      </c>
      <c r="L368">
        <v>207</v>
      </c>
      <c r="N368" t="s">
        <v>372</v>
      </c>
      <c r="O368">
        <v>19</v>
      </c>
      <c r="Q368">
        <v>6.32455532</v>
      </c>
      <c r="R368">
        <v>5.0831891599999999</v>
      </c>
    </row>
    <row r="369" spans="1:21" hidden="1" x14ac:dyDescent="0.35">
      <c r="A369" t="s">
        <v>373</v>
      </c>
      <c r="B369">
        <v>175</v>
      </c>
      <c r="C369">
        <v>156</v>
      </c>
      <c r="D369">
        <v>14</v>
      </c>
      <c r="E369">
        <v>12</v>
      </c>
      <c r="F369">
        <v>18.439088909999999</v>
      </c>
      <c r="J369" t="s">
        <v>373</v>
      </c>
      <c r="K369">
        <v>104</v>
      </c>
      <c r="L369">
        <v>232</v>
      </c>
      <c r="N369" t="s">
        <v>373</v>
      </c>
      <c r="O369">
        <v>26</v>
      </c>
      <c r="Q369">
        <v>104.00480760000001</v>
      </c>
      <c r="R369">
        <v>7.5609110900000003</v>
      </c>
    </row>
    <row r="370" spans="1:21" hidden="1" x14ac:dyDescent="0.35">
      <c r="A370" t="s">
        <v>374</v>
      </c>
      <c r="B370">
        <v>177</v>
      </c>
      <c r="C370">
        <v>153</v>
      </c>
      <c r="D370">
        <v>18</v>
      </c>
      <c r="E370">
        <v>23</v>
      </c>
      <c r="F370">
        <v>29.20616373</v>
      </c>
      <c r="J370" t="s">
        <v>374</v>
      </c>
      <c r="K370">
        <v>354</v>
      </c>
      <c r="L370">
        <v>97</v>
      </c>
      <c r="N370" t="s">
        <v>374</v>
      </c>
      <c r="O370">
        <v>43</v>
      </c>
      <c r="Q370">
        <v>185.6475155</v>
      </c>
      <c r="R370">
        <v>13.79383627</v>
      </c>
    </row>
    <row r="371" spans="1:21" hidden="1" x14ac:dyDescent="0.35">
      <c r="A371" t="s">
        <v>375</v>
      </c>
      <c r="B371">
        <v>166</v>
      </c>
      <c r="C371">
        <v>193</v>
      </c>
      <c r="D371">
        <v>15</v>
      </c>
      <c r="E371">
        <v>11</v>
      </c>
      <c r="F371">
        <v>18.60107524</v>
      </c>
      <c r="J371" t="s">
        <v>375</v>
      </c>
      <c r="K371">
        <v>73</v>
      </c>
      <c r="L371">
        <v>177</v>
      </c>
      <c r="N371" t="s">
        <v>375</v>
      </c>
      <c r="O371">
        <v>28</v>
      </c>
      <c r="Q371">
        <v>94.366307550000002</v>
      </c>
      <c r="R371">
        <v>9.3989247599999999</v>
      </c>
    </row>
    <row r="372" spans="1:21" x14ac:dyDescent="0.35">
      <c r="A372" t="s">
        <v>376</v>
      </c>
      <c r="B372">
        <v>198</v>
      </c>
      <c r="C372">
        <v>204</v>
      </c>
      <c r="D372">
        <v>19</v>
      </c>
      <c r="E372">
        <v>17</v>
      </c>
      <c r="F372">
        <v>25.495097569999999</v>
      </c>
      <c r="J372" t="s">
        <v>376</v>
      </c>
      <c r="K372">
        <v>202</v>
      </c>
      <c r="L372">
        <v>203</v>
      </c>
      <c r="N372" t="s">
        <v>376</v>
      </c>
      <c r="O372">
        <v>27</v>
      </c>
      <c r="Q372">
        <v>4.1231056260000001</v>
      </c>
      <c r="R372">
        <v>1.50490243</v>
      </c>
    </row>
    <row r="373" spans="1:21" hidden="1" x14ac:dyDescent="0.35">
      <c r="A373" t="s">
        <v>377</v>
      </c>
      <c r="B373">
        <v>199</v>
      </c>
      <c r="C373">
        <v>151</v>
      </c>
      <c r="D373">
        <v>18</v>
      </c>
      <c r="E373">
        <v>16</v>
      </c>
      <c r="F373">
        <v>24.08318916</v>
      </c>
      <c r="J373" t="s">
        <v>377</v>
      </c>
      <c r="K373">
        <v>111</v>
      </c>
      <c r="L373">
        <v>225</v>
      </c>
      <c r="N373" t="s">
        <v>377</v>
      </c>
      <c r="O373">
        <v>21</v>
      </c>
      <c r="Q373">
        <v>114.97825880000001</v>
      </c>
      <c r="R373">
        <v>3.0831891599999999</v>
      </c>
    </row>
    <row r="374" spans="1:21" x14ac:dyDescent="0.35">
      <c r="A374" t="s">
        <v>378</v>
      </c>
      <c r="B374">
        <v>205</v>
      </c>
      <c r="C374">
        <v>155</v>
      </c>
      <c r="D374">
        <v>21</v>
      </c>
      <c r="E374">
        <v>15</v>
      </c>
      <c r="F374">
        <v>25.8069758</v>
      </c>
      <c r="J374" t="s">
        <v>378</v>
      </c>
      <c r="K374">
        <v>218</v>
      </c>
      <c r="L374">
        <v>150</v>
      </c>
      <c r="N374" t="s">
        <v>378</v>
      </c>
      <c r="O374">
        <v>25</v>
      </c>
      <c r="Q374">
        <v>13.92838828</v>
      </c>
      <c r="R374">
        <v>0.80697580000000002</v>
      </c>
    </row>
    <row r="375" spans="1:21" hidden="1" x14ac:dyDescent="0.35">
      <c r="A375" t="s">
        <v>379</v>
      </c>
      <c r="B375">
        <v>132</v>
      </c>
      <c r="C375">
        <v>180</v>
      </c>
      <c r="D375">
        <v>11</v>
      </c>
      <c r="E375">
        <v>9</v>
      </c>
      <c r="F375">
        <v>14.2126704</v>
      </c>
      <c r="J375" t="s">
        <v>379</v>
      </c>
      <c r="K375">
        <v>169</v>
      </c>
      <c r="L375">
        <v>190</v>
      </c>
      <c r="N375" t="s">
        <v>379</v>
      </c>
      <c r="O375">
        <v>13</v>
      </c>
      <c r="Q375">
        <v>38.327535789999999</v>
      </c>
      <c r="R375">
        <v>1.2126703999999999</v>
      </c>
    </row>
    <row r="376" spans="1:21" hidden="1" x14ac:dyDescent="0.35">
      <c r="A376" t="s">
        <v>380</v>
      </c>
      <c r="B376">
        <v>160</v>
      </c>
      <c r="C376">
        <v>157</v>
      </c>
      <c r="D376">
        <v>13</v>
      </c>
      <c r="E376">
        <v>13</v>
      </c>
      <c r="F376">
        <v>18.384776309999999</v>
      </c>
      <c r="J376" t="s">
        <v>380</v>
      </c>
      <c r="K376">
        <v>225</v>
      </c>
      <c r="L376">
        <v>289</v>
      </c>
      <c r="N376" t="s">
        <v>380</v>
      </c>
      <c r="O376">
        <v>19</v>
      </c>
      <c r="Q376">
        <v>147.13599149999999</v>
      </c>
      <c r="R376">
        <v>0.61522368999999999</v>
      </c>
    </row>
    <row r="377" spans="1:21" hidden="1" x14ac:dyDescent="0.35">
      <c r="A377" t="s">
        <v>381</v>
      </c>
      <c r="B377">
        <v>145</v>
      </c>
      <c r="C377">
        <v>156</v>
      </c>
      <c r="D377">
        <v>15</v>
      </c>
      <c r="E377">
        <v>19</v>
      </c>
      <c r="F377">
        <v>24.207436869999999</v>
      </c>
      <c r="J377" t="s">
        <v>381</v>
      </c>
      <c r="K377">
        <v>343</v>
      </c>
      <c r="L377">
        <v>98</v>
      </c>
      <c r="N377" t="s">
        <v>381</v>
      </c>
      <c r="O377">
        <v>37</v>
      </c>
      <c r="Q377">
        <v>206.3201396</v>
      </c>
      <c r="R377">
        <v>12.79256313</v>
      </c>
    </row>
    <row r="378" spans="1:21" hidden="1" x14ac:dyDescent="0.35">
      <c r="A378" t="s">
        <v>382</v>
      </c>
      <c r="B378">
        <v>193</v>
      </c>
      <c r="C378">
        <v>154</v>
      </c>
      <c r="D378">
        <v>18</v>
      </c>
      <c r="E378">
        <v>10</v>
      </c>
      <c r="F378">
        <v>20.59126028</v>
      </c>
      <c r="J378" t="s">
        <v>382</v>
      </c>
      <c r="K378">
        <v>149</v>
      </c>
      <c r="L378">
        <v>169</v>
      </c>
      <c r="N378" t="s">
        <v>382</v>
      </c>
      <c r="O378">
        <v>28</v>
      </c>
      <c r="Q378">
        <v>46.4865572</v>
      </c>
      <c r="R378">
        <v>7.4087397199999998</v>
      </c>
    </row>
    <row r="379" spans="1:21" hidden="1" x14ac:dyDescent="0.35">
      <c r="A379" t="s">
        <v>383</v>
      </c>
      <c r="B379">
        <v>204</v>
      </c>
      <c r="C379">
        <v>173</v>
      </c>
      <c r="D379">
        <v>23</v>
      </c>
      <c r="E379">
        <v>22</v>
      </c>
      <c r="F379">
        <v>31.82766093</v>
      </c>
      <c r="J379" t="s">
        <v>383</v>
      </c>
      <c r="K379">
        <v>378</v>
      </c>
      <c r="L379">
        <v>75</v>
      </c>
      <c r="N379" t="s">
        <v>383</v>
      </c>
      <c r="O379">
        <v>23</v>
      </c>
      <c r="Q379">
        <v>199.69977470000001</v>
      </c>
      <c r="R379">
        <v>8.8276609300000004</v>
      </c>
    </row>
    <row r="380" spans="1:21" hidden="1" x14ac:dyDescent="0.35">
      <c r="A380" t="s">
        <v>384</v>
      </c>
      <c r="B380">
        <v>185</v>
      </c>
      <c r="C380">
        <v>182</v>
      </c>
      <c r="D380">
        <v>18</v>
      </c>
      <c r="E380">
        <v>9</v>
      </c>
      <c r="F380">
        <v>20.1246118</v>
      </c>
      <c r="J380" t="s">
        <v>384</v>
      </c>
      <c r="K380">
        <v>413</v>
      </c>
      <c r="L380">
        <v>330</v>
      </c>
      <c r="N380" t="s">
        <v>384</v>
      </c>
      <c r="O380">
        <v>14</v>
      </c>
      <c r="Q380">
        <v>271.8234721</v>
      </c>
      <c r="R380">
        <v>6.1246118000000003</v>
      </c>
    </row>
    <row r="381" spans="1:21" hidden="1" x14ac:dyDescent="0.35">
      <c r="A381" t="s">
        <v>385</v>
      </c>
      <c r="B381">
        <v>159</v>
      </c>
      <c r="C381">
        <v>157</v>
      </c>
      <c r="D381">
        <v>12</v>
      </c>
      <c r="E381">
        <v>17</v>
      </c>
      <c r="F381">
        <v>20.808652049999999</v>
      </c>
      <c r="J381" t="s">
        <v>385</v>
      </c>
      <c r="K381">
        <v>114</v>
      </c>
      <c r="L381">
        <v>170</v>
      </c>
      <c r="N381" t="s">
        <v>385</v>
      </c>
      <c r="O381">
        <v>83</v>
      </c>
      <c r="Q381">
        <v>46.840153710000003</v>
      </c>
      <c r="R381">
        <v>62.191347950000001</v>
      </c>
    </row>
    <row r="382" spans="1:21" x14ac:dyDescent="0.35">
      <c r="A382" t="s">
        <v>386</v>
      </c>
      <c r="B382">
        <v>211</v>
      </c>
      <c r="C382">
        <v>172</v>
      </c>
      <c r="D382">
        <v>12</v>
      </c>
      <c r="E382">
        <v>15</v>
      </c>
      <c r="F382">
        <v>19.20937271</v>
      </c>
      <c r="J382" t="s">
        <v>386</v>
      </c>
      <c r="K382">
        <v>223</v>
      </c>
      <c r="L382">
        <v>157</v>
      </c>
      <c r="N382" t="s">
        <v>386</v>
      </c>
      <c r="O382">
        <v>15</v>
      </c>
      <c r="Q382">
        <v>19.20937271</v>
      </c>
      <c r="R382">
        <v>4.2093727100000002</v>
      </c>
      <c r="T382">
        <f>AVERAGE(Q382,Q386,Q389,Q391,Q393,Q397)</f>
        <v>12.097364274</v>
      </c>
      <c r="U382">
        <f>AVERAGE(R382,R386,R389,R391,R393,R397)</f>
        <v>12.060887821666668</v>
      </c>
    </row>
    <row r="383" spans="1:21" hidden="1" x14ac:dyDescent="0.35">
      <c r="A383" t="s">
        <v>387</v>
      </c>
      <c r="B383">
        <v>160</v>
      </c>
      <c r="C383">
        <v>152</v>
      </c>
      <c r="D383">
        <v>11</v>
      </c>
      <c r="E383">
        <v>16</v>
      </c>
      <c r="F383">
        <v>19.416487839999998</v>
      </c>
      <c r="J383" t="s">
        <v>387</v>
      </c>
      <c r="K383">
        <v>122</v>
      </c>
      <c r="L383">
        <v>156</v>
      </c>
      <c r="N383" t="s">
        <v>387</v>
      </c>
      <c r="O383">
        <v>29</v>
      </c>
      <c r="Q383">
        <v>38.209946350000003</v>
      </c>
      <c r="R383">
        <v>9.5835121599999997</v>
      </c>
    </row>
    <row r="384" spans="1:21" hidden="1" x14ac:dyDescent="0.35">
      <c r="A384" t="s">
        <v>388</v>
      </c>
      <c r="B384">
        <v>210</v>
      </c>
      <c r="C384">
        <v>209</v>
      </c>
      <c r="D384">
        <v>14</v>
      </c>
      <c r="E384">
        <v>10</v>
      </c>
      <c r="F384">
        <v>17.204650529999999</v>
      </c>
      <c r="J384" t="s">
        <v>388</v>
      </c>
      <c r="K384">
        <v>99</v>
      </c>
      <c r="L384">
        <v>216</v>
      </c>
      <c r="N384" t="s">
        <v>388</v>
      </c>
      <c r="O384">
        <v>18</v>
      </c>
      <c r="Q384">
        <v>111.2205017</v>
      </c>
      <c r="R384">
        <v>0.79534947</v>
      </c>
    </row>
    <row r="385" spans="1:21" hidden="1" x14ac:dyDescent="0.35">
      <c r="A385" t="s">
        <v>389</v>
      </c>
      <c r="B385">
        <v>175</v>
      </c>
      <c r="C385">
        <v>186</v>
      </c>
      <c r="D385">
        <v>14</v>
      </c>
      <c r="E385">
        <v>16</v>
      </c>
      <c r="F385">
        <v>21.260291630000001</v>
      </c>
      <c r="J385" t="s">
        <v>389</v>
      </c>
      <c r="K385">
        <v>136</v>
      </c>
      <c r="L385">
        <v>193</v>
      </c>
      <c r="N385" t="s">
        <v>389</v>
      </c>
      <c r="O385">
        <v>31</v>
      </c>
      <c r="Q385">
        <v>39.623225509999997</v>
      </c>
      <c r="R385">
        <v>9.7397083700000007</v>
      </c>
    </row>
    <row r="386" spans="1:21" x14ac:dyDescent="0.35">
      <c r="A386" t="s">
        <v>390</v>
      </c>
      <c r="B386">
        <v>186</v>
      </c>
      <c r="C386">
        <v>187</v>
      </c>
      <c r="D386">
        <v>10</v>
      </c>
      <c r="E386">
        <v>12</v>
      </c>
      <c r="F386">
        <v>15.620499349999999</v>
      </c>
      <c r="J386" t="s">
        <v>390</v>
      </c>
      <c r="K386">
        <v>188</v>
      </c>
      <c r="L386">
        <v>183</v>
      </c>
      <c r="N386" t="s">
        <v>390</v>
      </c>
      <c r="O386">
        <v>27</v>
      </c>
      <c r="Q386">
        <v>4.4721359549999997</v>
      </c>
      <c r="R386">
        <v>11.379500650000001</v>
      </c>
      <c r="T386">
        <f>AVERAGE(Q382,Q386,Q389,Q397)</f>
        <v>10.444568095999999</v>
      </c>
      <c r="U386">
        <f>AVERAGE(R382,R386,R389,R397)</f>
        <v>7.9559198250000005</v>
      </c>
    </row>
    <row r="387" spans="1:21" hidden="1" x14ac:dyDescent="0.35">
      <c r="A387" t="s">
        <v>391</v>
      </c>
      <c r="B387">
        <v>179</v>
      </c>
      <c r="C387">
        <v>170</v>
      </c>
      <c r="D387">
        <v>10</v>
      </c>
      <c r="E387">
        <v>13</v>
      </c>
      <c r="F387">
        <v>16.401219470000001</v>
      </c>
      <c r="J387" t="s">
        <v>391</v>
      </c>
      <c r="K387">
        <v>131</v>
      </c>
      <c r="L387">
        <v>176</v>
      </c>
      <c r="N387" t="s">
        <v>391</v>
      </c>
      <c r="O387">
        <v>28</v>
      </c>
      <c r="Q387">
        <v>48.373546490000003</v>
      </c>
      <c r="R387">
        <v>11.598780530000001</v>
      </c>
    </row>
    <row r="388" spans="1:21" hidden="1" x14ac:dyDescent="0.35">
      <c r="A388" t="s">
        <v>392</v>
      </c>
      <c r="B388">
        <v>181</v>
      </c>
      <c r="C388">
        <v>170</v>
      </c>
      <c r="D388">
        <v>12</v>
      </c>
      <c r="E388">
        <v>12</v>
      </c>
      <c r="F388">
        <v>16.970562749999999</v>
      </c>
      <c r="J388" t="s">
        <v>392</v>
      </c>
      <c r="K388">
        <v>328</v>
      </c>
      <c r="L388">
        <v>72</v>
      </c>
      <c r="N388" t="s">
        <v>392</v>
      </c>
      <c r="O388">
        <v>29</v>
      </c>
      <c r="Q388">
        <v>176.67201249999999</v>
      </c>
      <c r="R388">
        <v>12.029437250000001</v>
      </c>
    </row>
    <row r="389" spans="1:21" x14ac:dyDescent="0.35">
      <c r="A389" t="s">
        <v>393</v>
      </c>
      <c r="B389">
        <v>212</v>
      </c>
      <c r="C389">
        <v>183</v>
      </c>
      <c r="D389">
        <v>14</v>
      </c>
      <c r="E389">
        <v>16</v>
      </c>
      <c r="F389">
        <v>21.260291630000001</v>
      </c>
      <c r="J389" t="s">
        <v>393</v>
      </c>
      <c r="K389">
        <v>205</v>
      </c>
      <c r="L389">
        <v>185</v>
      </c>
      <c r="N389" t="s">
        <v>393</v>
      </c>
      <c r="O389">
        <v>28</v>
      </c>
      <c r="Q389">
        <v>7.2801098890000002</v>
      </c>
      <c r="R389">
        <v>6.7397083699999998</v>
      </c>
      <c r="T389">
        <f>AVERAGE(Q393,Q391)</f>
        <v>15.40295663</v>
      </c>
      <c r="U389">
        <f>AVERAGE(R393,R391)</f>
        <v>20.270823815</v>
      </c>
    </row>
    <row r="390" spans="1:21" hidden="1" x14ac:dyDescent="0.35">
      <c r="A390" t="s">
        <v>394</v>
      </c>
      <c r="B390">
        <v>220</v>
      </c>
      <c r="C390">
        <v>203</v>
      </c>
      <c r="D390">
        <v>9</v>
      </c>
      <c r="E390">
        <v>10</v>
      </c>
      <c r="F390">
        <v>13.45362405</v>
      </c>
      <c r="J390" t="s">
        <v>394</v>
      </c>
      <c r="K390">
        <v>394</v>
      </c>
      <c r="L390">
        <v>142</v>
      </c>
      <c r="N390" t="s">
        <v>394</v>
      </c>
      <c r="O390">
        <v>17</v>
      </c>
      <c r="Q390">
        <v>184.3827541</v>
      </c>
      <c r="R390">
        <v>3.5463759499999998</v>
      </c>
    </row>
    <row r="391" spans="1:21" x14ac:dyDescent="0.35">
      <c r="A391" t="s">
        <v>395</v>
      </c>
      <c r="B391">
        <v>185</v>
      </c>
      <c r="C391">
        <v>178</v>
      </c>
      <c r="D391">
        <v>11</v>
      </c>
      <c r="E391">
        <v>6</v>
      </c>
      <c r="F391">
        <v>12.52996409</v>
      </c>
      <c r="J391" t="s">
        <v>395</v>
      </c>
      <c r="K391">
        <v>202</v>
      </c>
      <c r="L391">
        <v>182</v>
      </c>
      <c r="N391" t="s">
        <v>395</v>
      </c>
      <c r="O391">
        <v>34</v>
      </c>
      <c r="Q391">
        <v>17.464249200000001</v>
      </c>
      <c r="R391">
        <v>21.47003591</v>
      </c>
    </row>
    <row r="392" spans="1:21" hidden="1" x14ac:dyDescent="0.35">
      <c r="A392" t="s">
        <v>396</v>
      </c>
      <c r="B392">
        <v>202</v>
      </c>
      <c r="C392">
        <v>190</v>
      </c>
      <c r="D392">
        <v>13</v>
      </c>
      <c r="E392">
        <v>11</v>
      </c>
      <c r="F392">
        <v>17.029386370000001</v>
      </c>
      <c r="J392" t="s">
        <v>396</v>
      </c>
      <c r="K392">
        <v>347</v>
      </c>
      <c r="L392">
        <v>83</v>
      </c>
      <c r="N392" t="s">
        <v>396</v>
      </c>
      <c r="O392">
        <v>21</v>
      </c>
      <c r="Q392">
        <v>180.2054383</v>
      </c>
      <c r="R392">
        <v>3.9706136299999999</v>
      </c>
    </row>
    <row r="393" spans="1:21" x14ac:dyDescent="0.35">
      <c r="A393" t="s">
        <v>397</v>
      </c>
      <c r="B393">
        <v>192</v>
      </c>
      <c r="C393">
        <v>173</v>
      </c>
      <c r="D393">
        <v>13</v>
      </c>
      <c r="E393">
        <v>5</v>
      </c>
      <c r="F393">
        <v>13.92838828</v>
      </c>
      <c r="J393" t="s">
        <v>397</v>
      </c>
      <c r="K393">
        <v>179</v>
      </c>
      <c r="L393">
        <v>176</v>
      </c>
      <c r="N393" t="s">
        <v>397</v>
      </c>
      <c r="O393">
        <v>33</v>
      </c>
      <c r="Q393">
        <v>13.341664059999999</v>
      </c>
      <c r="R393">
        <v>19.07161172</v>
      </c>
    </row>
    <row r="394" spans="1:21" hidden="1" x14ac:dyDescent="0.35">
      <c r="A394" t="s">
        <v>398</v>
      </c>
      <c r="B394">
        <v>177</v>
      </c>
      <c r="C394">
        <v>173</v>
      </c>
      <c r="D394">
        <v>15</v>
      </c>
      <c r="E394">
        <v>9</v>
      </c>
      <c r="F394">
        <v>17.492855680000002</v>
      </c>
      <c r="J394" t="s">
        <v>398</v>
      </c>
      <c r="K394">
        <v>343</v>
      </c>
      <c r="L394">
        <v>73</v>
      </c>
      <c r="N394" t="s">
        <v>398</v>
      </c>
      <c r="O394">
        <v>22</v>
      </c>
      <c r="Q394">
        <v>193.79370470000001</v>
      </c>
      <c r="R394">
        <v>4.5071443200000001</v>
      </c>
    </row>
    <row r="395" spans="1:21" hidden="1" x14ac:dyDescent="0.35">
      <c r="A395" t="s">
        <v>399</v>
      </c>
      <c r="B395">
        <v>187</v>
      </c>
      <c r="C395">
        <v>174</v>
      </c>
      <c r="D395">
        <v>19</v>
      </c>
      <c r="E395">
        <v>10</v>
      </c>
      <c r="F395">
        <v>21.470910549999999</v>
      </c>
      <c r="J395" t="s">
        <v>399</v>
      </c>
      <c r="K395">
        <v>233</v>
      </c>
      <c r="L395">
        <v>315</v>
      </c>
      <c r="N395" t="s">
        <v>399</v>
      </c>
      <c r="O395">
        <v>18</v>
      </c>
      <c r="Q395">
        <v>148.31385639999999</v>
      </c>
      <c r="R395">
        <v>3.4709105500000001</v>
      </c>
    </row>
    <row r="396" spans="1:21" hidden="1" x14ac:dyDescent="0.35">
      <c r="A396" t="s">
        <v>400</v>
      </c>
      <c r="B396">
        <v>200</v>
      </c>
      <c r="C396">
        <v>160</v>
      </c>
      <c r="D396">
        <v>24</v>
      </c>
      <c r="E396">
        <v>10</v>
      </c>
      <c r="F396">
        <v>26</v>
      </c>
      <c r="J396" t="s">
        <v>400</v>
      </c>
      <c r="K396">
        <v>424</v>
      </c>
      <c r="L396">
        <v>339</v>
      </c>
      <c r="N396" t="s">
        <v>400</v>
      </c>
      <c r="O396">
        <v>21</v>
      </c>
      <c r="Q396">
        <v>286.73506939999999</v>
      </c>
      <c r="R396">
        <v>5</v>
      </c>
    </row>
    <row r="397" spans="1:21" x14ac:dyDescent="0.35">
      <c r="A397" t="s">
        <v>401</v>
      </c>
      <c r="B397">
        <v>193</v>
      </c>
      <c r="C397">
        <v>187</v>
      </c>
      <c r="D397">
        <v>11</v>
      </c>
      <c r="E397">
        <v>23</v>
      </c>
      <c r="F397">
        <v>25.495097569999999</v>
      </c>
      <c r="J397" t="s">
        <v>401</v>
      </c>
      <c r="K397">
        <v>184</v>
      </c>
      <c r="L397">
        <v>193</v>
      </c>
      <c r="N397" t="s">
        <v>401</v>
      </c>
      <c r="O397">
        <v>16</v>
      </c>
      <c r="Q397">
        <v>10.81665383</v>
      </c>
      <c r="R397">
        <v>9.4950975700000004</v>
      </c>
    </row>
    <row r="398" spans="1:21" hidden="1" x14ac:dyDescent="0.35">
      <c r="A398" t="s">
        <v>402</v>
      </c>
      <c r="B398">
        <v>194</v>
      </c>
      <c r="C398">
        <v>167</v>
      </c>
      <c r="D398">
        <v>13</v>
      </c>
      <c r="E398">
        <v>9</v>
      </c>
      <c r="F398">
        <v>15.811388300000001</v>
      </c>
      <c r="J398" t="s">
        <v>402</v>
      </c>
      <c r="K398">
        <v>145</v>
      </c>
      <c r="L398">
        <v>180</v>
      </c>
      <c r="N398" t="s">
        <v>402</v>
      </c>
      <c r="O398">
        <v>33</v>
      </c>
      <c r="Q398">
        <v>50.695167419999997</v>
      </c>
      <c r="R398">
        <v>17.188611699999999</v>
      </c>
    </row>
    <row r="399" spans="1:21" hidden="1" x14ac:dyDescent="0.35">
      <c r="A399" t="s">
        <v>403</v>
      </c>
      <c r="B399">
        <v>202</v>
      </c>
      <c r="C399">
        <v>159</v>
      </c>
      <c r="D399">
        <v>7</v>
      </c>
      <c r="E399">
        <v>14</v>
      </c>
      <c r="F399">
        <v>15.652475839999999</v>
      </c>
      <c r="J399" t="s">
        <v>403</v>
      </c>
      <c r="K399">
        <v>345</v>
      </c>
      <c r="L399">
        <v>69</v>
      </c>
      <c r="N399" t="s">
        <v>403</v>
      </c>
      <c r="O399">
        <v>28</v>
      </c>
      <c r="Q399">
        <v>168.96449329999999</v>
      </c>
      <c r="R399">
        <v>12.347524160000001</v>
      </c>
    </row>
    <row r="400" spans="1:21" hidden="1" x14ac:dyDescent="0.35">
      <c r="A400" t="s">
        <v>404</v>
      </c>
      <c r="B400">
        <v>158</v>
      </c>
      <c r="C400">
        <v>174</v>
      </c>
      <c r="D400">
        <v>19</v>
      </c>
      <c r="E400">
        <v>13</v>
      </c>
      <c r="F400">
        <v>23.02172887</v>
      </c>
      <c r="J400" t="s">
        <v>404</v>
      </c>
      <c r="K400">
        <v>346</v>
      </c>
      <c r="L400">
        <v>84</v>
      </c>
      <c r="N400" t="s">
        <v>404</v>
      </c>
      <c r="O400">
        <v>13</v>
      </c>
      <c r="Q400">
        <v>208.43224319999999</v>
      </c>
      <c r="R400">
        <v>10.02172887</v>
      </c>
    </row>
    <row r="401" spans="1:18" hidden="1" x14ac:dyDescent="0.35">
      <c r="A401" t="s">
        <v>405</v>
      </c>
      <c r="B401">
        <v>156</v>
      </c>
      <c r="C401">
        <v>162</v>
      </c>
      <c r="D401">
        <v>6</v>
      </c>
      <c r="E401">
        <v>12</v>
      </c>
      <c r="F401">
        <v>13.41640786</v>
      </c>
      <c r="J401" t="s">
        <v>405</v>
      </c>
      <c r="K401">
        <v>213</v>
      </c>
      <c r="L401">
        <v>160</v>
      </c>
      <c r="N401" t="s">
        <v>405</v>
      </c>
      <c r="O401">
        <v>80</v>
      </c>
      <c r="Q401">
        <v>57.035076930000002</v>
      </c>
      <c r="R401">
        <v>66.583592139999993</v>
      </c>
    </row>
    <row r="402" spans="1:18" hidden="1" x14ac:dyDescent="0.35">
      <c r="A402" t="s">
        <v>406</v>
      </c>
      <c r="B402">
        <v>191</v>
      </c>
      <c r="C402">
        <v>155</v>
      </c>
      <c r="D402">
        <v>18</v>
      </c>
      <c r="E402">
        <v>9</v>
      </c>
      <c r="F402">
        <v>20.1246118</v>
      </c>
      <c r="J402" t="s">
        <v>406</v>
      </c>
      <c r="K402">
        <v>365</v>
      </c>
      <c r="L402">
        <v>72</v>
      </c>
      <c r="N402" t="s">
        <v>406</v>
      </c>
      <c r="O402">
        <v>28</v>
      </c>
      <c r="Q402">
        <v>192.7822606</v>
      </c>
      <c r="R402">
        <v>7.8753881999999997</v>
      </c>
    </row>
  </sheetData>
  <autoFilter ref="Q1:Q402">
    <filterColumn colId="0">
      <customFilters>
        <customFilter operator="lessThan" val="2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real_values_2_g_degis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Teksin</dc:creator>
  <cp:lastModifiedBy>mteks</cp:lastModifiedBy>
  <dcterms:modified xsi:type="dcterms:W3CDTF">2025-05-11T11:35:14Z</dcterms:modified>
</cp:coreProperties>
</file>